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e.porcellato/Desktop/DAVIDE/"/>
    </mc:Choice>
  </mc:AlternateContent>
  <xr:revisionPtr revIDLastSave="0" documentId="13_ncr:1_{9F4D3818-86C4-AA48-92B5-2D295CABAADF}" xr6:coauthVersionLast="47" xr6:coauthVersionMax="47" xr10:uidLastSave="{00000000-0000-0000-0000-000000000000}"/>
  <bookViews>
    <workbookView xWindow="0" yWindow="660" windowWidth="29400" windowHeight="17440" activeTab="1" xr2:uid="{00000000-000D-0000-FFFF-FFFF00000000}"/>
  </bookViews>
  <sheets>
    <sheet name="Readme" sheetId="1" r:id="rId1"/>
    <sheet name="Input Data" sheetId="2" r:id="rId2"/>
  </sheets>
  <definedNames>
    <definedName name="_xlnm._FilterDatabase" localSheetId="1" hidden="1">'Input Data'!$I$1:$N$511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1" i="2" l="1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3" i="2"/>
  <c r="K4" i="2"/>
  <c r="K5" i="2"/>
  <c r="K6" i="2"/>
  <c r="K7" i="2"/>
  <c r="K8" i="2"/>
  <c r="K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3" i="2"/>
  <c r="L2" i="2"/>
  <c r="L4" i="2" l="1"/>
  <c r="G87" i="2"/>
  <c r="I10" i="2"/>
  <c r="G10" i="2" s="1"/>
  <c r="I23" i="2"/>
  <c r="I39" i="2"/>
  <c r="I55" i="2"/>
  <c r="I12" i="2"/>
  <c r="I36" i="2"/>
  <c r="I52" i="2"/>
  <c r="I95" i="2"/>
  <c r="I106" i="2"/>
  <c r="I113" i="2"/>
  <c r="I135" i="2"/>
  <c r="I14" i="2"/>
  <c r="G347" i="2"/>
  <c r="I7" i="2"/>
  <c r="I18" i="2"/>
  <c r="I9" i="2"/>
  <c r="I20" i="2"/>
  <c r="I31" i="2"/>
  <c r="I47" i="2"/>
  <c r="I71" i="2"/>
  <c r="I82" i="2"/>
  <c r="G93" i="2"/>
  <c r="I93" i="2"/>
  <c r="I2" i="2"/>
  <c r="I4" i="2"/>
  <c r="I6" i="2"/>
  <c r="I15" i="2"/>
  <c r="I17" i="2"/>
  <c r="I28" i="2"/>
  <c r="G28" i="2" s="1"/>
  <c r="I44" i="2"/>
  <c r="I64" i="2"/>
  <c r="I75" i="2"/>
  <c r="I124" i="2"/>
  <c r="I164" i="2"/>
  <c r="G164" i="2"/>
  <c r="I26" i="2"/>
  <c r="I34" i="2"/>
  <c r="I42" i="2"/>
  <c r="I50" i="2"/>
  <c r="I58" i="2"/>
  <c r="I69" i="2"/>
  <c r="G69" i="2" s="1"/>
  <c r="I80" i="2"/>
  <c r="I91" i="2"/>
  <c r="G91" i="2"/>
  <c r="G96" i="2"/>
  <c r="I25" i="2"/>
  <c r="I33" i="2"/>
  <c r="G33" i="2" s="1"/>
  <c r="I41" i="2"/>
  <c r="G49" i="2"/>
  <c r="I49" i="2"/>
  <c r="I57" i="2"/>
  <c r="I66" i="2"/>
  <c r="I77" i="2"/>
  <c r="I88" i="2"/>
  <c r="G218" i="2"/>
  <c r="G447" i="2"/>
  <c r="I22" i="2"/>
  <c r="I30" i="2"/>
  <c r="I38" i="2"/>
  <c r="I46" i="2"/>
  <c r="I54" i="2"/>
  <c r="I59" i="2"/>
  <c r="I79" i="2"/>
  <c r="I90" i="2"/>
  <c r="G140" i="2"/>
  <c r="I3" i="2"/>
  <c r="I5" i="2"/>
  <c r="G5" i="2" s="1"/>
  <c r="I8" i="2"/>
  <c r="I11" i="2"/>
  <c r="I13" i="2"/>
  <c r="G13" i="2" s="1"/>
  <c r="I16" i="2"/>
  <c r="I19" i="2"/>
  <c r="I21" i="2"/>
  <c r="I24" i="2"/>
  <c r="G24" i="2" s="1"/>
  <c r="I27" i="2"/>
  <c r="G27" i="2"/>
  <c r="I29" i="2"/>
  <c r="G29" i="2" s="1"/>
  <c r="I32" i="2"/>
  <c r="I35" i="2"/>
  <c r="G35" i="2" s="1"/>
  <c r="I37" i="2"/>
  <c r="I40" i="2"/>
  <c r="I43" i="2"/>
  <c r="I45" i="2"/>
  <c r="I48" i="2"/>
  <c r="I51" i="2"/>
  <c r="I53" i="2"/>
  <c r="I56" i="2"/>
  <c r="G61" i="2"/>
  <c r="I61" i="2"/>
  <c r="I63" i="2"/>
  <c r="I67" i="2"/>
  <c r="I72" i="2"/>
  <c r="I74" i="2"/>
  <c r="I83" i="2"/>
  <c r="I85" i="2"/>
  <c r="I87" i="2"/>
  <c r="I96" i="2"/>
  <c r="I98" i="2"/>
  <c r="I162" i="2"/>
  <c r="G99" i="2"/>
  <c r="I101" i="2"/>
  <c r="I104" i="2"/>
  <c r="I111" i="2"/>
  <c r="I118" i="2"/>
  <c r="I122" i="2"/>
  <c r="I129" i="2"/>
  <c r="I140" i="2"/>
  <c r="I151" i="2"/>
  <c r="G151" i="2" s="1"/>
  <c r="I153" i="2"/>
  <c r="I170" i="2"/>
  <c r="I172" i="2"/>
  <c r="I197" i="2"/>
  <c r="I208" i="2"/>
  <c r="G208" i="2" s="1"/>
  <c r="G266" i="2"/>
  <c r="I103" i="2"/>
  <c r="I126" i="2"/>
  <c r="G128" i="2"/>
  <c r="I137" i="2"/>
  <c r="I143" i="2"/>
  <c r="I145" i="2"/>
  <c r="I175" i="2"/>
  <c r="I177" i="2"/>
  <c r="I60" i="2"/>
  <c r="I62" i="2"/>
  <c r="G62" i="2"/>
  <c r="I65" i="2"/>
  <c r="G65" i="2" s="1"/>
  <c r="I68" i="2"/>
  <c r="I70" i="2"/>
  <c r="I73" i="2"/>
  <c r="I76" i="2"/>
  <c r="I78" i="2"/>
  <c r="I81" i="2"/>
  <c r="I84" i="2"/>
  <c r="I86" i="2"/>
  <c r="I89" i="2"/>
  <c r="I92" i="2"/>
  <c r="I94" i="2"/>
  <c r="G94" i="2"/>
  <c r="I97" i="2"/>
  <c r="G97" i="2" s="1"/>
  <c r="I100" i="2"/>
  <c r="I108" i="2"/>
  <c r="I119" i="2"/>
  <c r="I130" i="2"/>
  <c r="G130" i="2"/>
  <c r="I154" i="2"/>
  <c r="G154" i="2"/>
  <c r="I156" i="2"/>
  <c r="I99" i="2"/>
  <c r="I102" i="2"/>
  <c r="I105" i="2"/>
  <c r="I107" i="2"/>
  <c r="I110" i="2"/>
  <c r="I114" i="2"/>
  <c r="I116" i="2"/>
  <c r="G116" i="2" s="1"/>
  <c r="I121" i="2"/>
  <c r="G121" i="2"/>
  <c r="I127" i="2"/>
  <c r="G127" i="2"/>
  <c r="I132" i="2"/>
  <c r="I134" i="2"/>
  <c r="I138" i="2"/>
  <c r="I146" i="2"/>
  <c r="I148" i="2"/>
  <c r="I159" i="2"/>
  <c r="I161" i="2"/>
  <c r="I167" i="2"/>
  <c r="I169" i="2"/>
  <c r="I178" i="2"/>
  <c r="I180" i="2"/>
  <c r="I183" i="2"/>
  <c r="I186" i="2"/>
  <c r="I188" i="2"/>
  <c r="G188" i="2" s="1"/>
  <c r="I228" i="2"/>
  <c r="I246" i="2"/>
  <c r="I310" i="2"/>
  <c r="I191" i="2"/>
  <c r="I202" i="2"/>
  <c r="I204" i="2"/>
  <c r="I213" i="2"/>
  <c r="I215" i="2"/>
  <c r="G215" i="2"/>
  <c r="I224" i="2"/>
  <c r="I226" i="2"/>
  <c r="I257" i="2"/>
  <c r="I185" i="2"/>
  <c r="I199" i="2"/>
  <c r="I210" i="2"/>
  <c r="I221" i="2"/>
  <c r="I232" i="2"/>
  <c r="I236" i="2"/>
  <c r="G236" i="2"/>
  <c r="I142" i="2"/>
  <c r="I150" i="2"/>
  <c r="I158" i="2"/>
  <c r="I166" i="2"/>
  <c r="I174" i="2"/>
  <c r="I182" i="2"/>
  <c r="I192" i="2"/>
  <c r="I212" i="2"/>
  <c r="I223" i="2"/>
  <c r="G223" i="2" s="1"/>
  <c r="I279" i="2"/>
  <c r="I336" i="2"/>
  <c r="G336" i="2"/>
  <c r="I109" i="2"/>
  <c r="G109" i="2"/>
  <c r="I112" i="2"/>
  <c r="G115" i="2"/>
  <c r="I115" i="2"/>
  <c r="I117" i="2"/>
  <c r="I120" i="2"/>
  <c r="G120" i="2" s="1"/>
  <c r="I123" i="2"/>
  <c r="I125" i="2"/>
  <c r="I128" i="2"/>
  <c r="I131" i="2"/>
  <c r="I133" i="2"/>
  <c r="I136" i="2"/>
  <c r="I139" i="2"/>
  <c r="I141" i="2"/>
  <c r="I144" i="2"/>
  <c r="I147" i="2"/>
  <c r="G147" i="2" s="1"/>
  <c r="I149" i="2"/>
  <c r="G149" i="2" s="1"/>
  <c r="I152" i="2"/>
  <c r="I155" i="2"/>
  <c r="I157" i="2"/>
  <c r="G157" i="2"/>
  <c r="I160" i="2"/>
  <c r="I163" i="2"/>
  <c r="I165" i="2"/>
  <c r="I168" i="2"/>
  <c r="I171" i="2"/>
  <c r="I173" i="2"/>
  <c r="I176" i="2"/>
  <c r="I179" i="2"/>
  <c r="I181" i="2"/>
  <c r="G181" i="2"/>
  <c r="I184" i="2"/>
  <c r="G184" i="2" s="1"/>
  <c r="I187" i="2"/>
  <c r="I189" i="2"/>
  <c r="I194" i="2"/>
  <c r="I196" i="2"/>
  <c r="I200" i="2"/>
  <c r="I205" i="2"/>
  <c r="I207" i="2"/>
  <c r="I216" i="2"/>
  <c r="I218" i="2"/>
  <c r="I220" i="2"/>
  <c r="I229" i="2"/>
  <c r="I231" i="2"/>
  <c r="I268" i="2"/>
  <c r="I386" i="2"/>
  <c r="I234" i="2"/>
  <c r="I239" i="2"/>
  <c r="I241" i="2"/>
  <c r="I243" i="2"/>
  <c r="G250" i="2"/>
  <c r="I252" i="2"/>
  <c r="I254" i="2"/>
  <c r="G254" i="2"/>
  <c r="I259" i="2"/>
  <c r="I263" i="2"/>
  <c r="G263" i="2" s="1"/>
  <c r="I265" i="2"/>
  <c r="I270" i="2"/>
  <c r="G270" i="2" s="1"/>
  <c r="I276" i="2"/>
  <c r="G276" i="2" s="1"/>
  <c r="I281" i="2"/>
  <c r="I283" i="2"/>
  <c r="I287" i="2"/>
  <c r="I318" i="2"/>
  <c r="I326" i="2"/>
  <c r="I360" i="2"/>
  <c r="G474" i="2"/>
  <c r="I247" i="2"/>
  <c r="I267" i="2"/>
  <c r="I278" i="2"/>
  <c r="G289" i="2"/>
  <c r="I289" i="2"/>
  <c r="G314" i="2"/>
  <c r="I358" i="2"/>
  <c r="I190" i="2"/>
  <c r="I193" i="2"/>
  <c r="I195" i="2"/>
  <c r="I198" i="2"/>
  <c r="I201" i="2"/>
  <c r="I203" i="2"/>
  <c r="I206" i="2"/>
  <c r="I209" i="2"/>
  <c r="G209" i="2" s="1"/>
  <c r="I211" i="2"/>
  <c r="G211" i="2" s="1"/>
  <c r="I214" i="2"/>
  <c r="I217" i="2"/>
  <c r="I219" i="2"/>
  <c r="G219" i="2" s="1"/>
  <c r="I222" i="2"/>
  <c r="I225" i="2"/>
  <c r="I227" i="2"/>
  <c r="I230" i="2"/>
  <c r="G230" i="2"/>
  <c r="I233" i="2"/>
  <c r="I235" i="2"/>
  <c r="I238" i="2"/>
  <c r="I244" i="2"/>
  <c r="I249" i="2"/>
  <c r="I251" i="2"/>
  <c r="G251" i="2" s="1"/>
  <c r="I255" i="2"/>
  <c r="I260" i="2"/>
  <c r="I262" i="2"/>
  <c r="I271" i="2"/>
  <c r="I273" i="2"/>
  <c r="I275" i="2"/>
  <c r="I284" i="2"/>
  <c r="G284" i="2" s="1"/>
  <c r="I286" i="2"/>
  <c r="I294" i="2"/>
  <c r="G294" i="2" s="1"/>
  <c r="I302" i="2"/>
  <c r="I347" i="2"/>
  <c r="I292" i="2"/>
  <c r="I295" i="2"/>
  <c r="I297" i="2"/>
  <c r="I300" i="2"/>
  <c r="G300" i="2" s="1"/>
  <c r="I303" i="2"/>
  <c r="I305" i="2"/>
  <c r="G305" i="2" s="1"/>
  <c r="I308" i="2"/>
  <c r="I311" i="2"/>
  <c r="I313" i="2"/>
  <c r="I316" i="2"/>
  <c r="I319" i="2"/>
  <c r="I321" i="2"/>
  <c r="I324" i="2"/>
  <c r="I327" i="2"/>
  <c r="I329" i="2"/>
  <c r="I332" i="2"/>
  <c r="I334" i="2"/>
  <c r="I339" i="2"/>
  <c r="I341" i="2"/>
  <c r="I350" i="2"/>
  <c r="G350" i="2"/>
  <c r="I352" i="2"/>
  <c r="G352" i="2"/>
  <c r="I354" i="2"/>
  <c r="I366" i="2"/>
  <c r="I368" i="2"/>
  <c r="I391" i="2"/>
  <c r="I408" i="2"/>
  <c r="I421" i="2"/>
  <c r="I479" i="2"/>
  <c r="I487" i="2"/>
  <c r="I291" i="2"/>
  <c r="I299" i="2"/>
  <c r="I307" i="2"/>
  <c r="I315" i="2"/>
  <c r="I323" i="2"/>
  <c r="I331" i="2"/>
  <c r="I338" i="2"/>
  <c r="I349" i="2"/>
  <c r="I371" i="2"/>
  <c r="G371" i="2"/>
  <c r="I373" i="2"/>
  <c r="G373" i="2" s="1"/>
  <c r="I389" i="2"/>
  <c r="I237" i="2"/>
  <c r="I240" i="2"/>
  <c r="I242" i="2"/>
  <c r="I245" i="2"/>
  <c r="I248" i="2"/>
  <c r="I250" i="2"/>
  <c r="I253" i="2"/>
  <c r="I256" i="2"/>
  <c r="I258" i="2"/>
  <c r="I261" i="2"/>
  <c r="I264" i="2"/>
  <c r="I266" i="2"/>
  <c r="I269" i="2"/>
  <c r="I272" i="2"/>
  <c r="G272" i="2" s="1"/>
  <c r="I274" i="2"/>
  <c r="I277" i="2"/>
  <c r="I280" i="2"/>
  <c r="I282" i="2"/>
  <c r="I285" i="2"/>
  <c r="G285" i="2"/>
  <c r="I288" i="2"/>
  <c r="I290" i="2"/>
  <c r="G290" i="2" s="1"/>
  <c r="I293" i="2"/>
  <c r="I296" i="2"/>
  <c r="I298" i="2"/>
  <c r="I301" i="2"/>
  <c r="I304" i="2"/>
  <c r="I306" i="2"/>
  <c r="G306" i="2" s="1"/>
  <c r="I309" i="2"/>
  <c r="G309" i="2" s="1"/>
  <c r="I312" i="2"/>
  <c r="I314" i="2"/>
  <c r="I317" i="2"/>
  <c r="I320" i="2"/>
  <c r="I322" i="2"/>
  <c r="G322" i="2" s="1"/>
  <c r="I325" i="2"/>
  <c r="I328" i="2"/>
  <c r="I330" i="2"/>
  <c r="G330" i="2" s="1"/>
  <c r="I333" i="2"/>
  <c r="G342" i="2"/>
  <c r="I342" i="2"/>
  <c r="I344" i="2"/>
  <c r="G344" i="2"/>
  <c r="I346" i="2"/>
  <c r="I355" i="2"/>
  <c r="G355" i="2" s="1"/>
  <c r="I357" i="2"/>
  <c r="I363" i="2"/>
  <c r="G363" i="2"/>
  <c r="I365" i="2"/>
  <c r="I374" i="2"/>
  <c r="I376" i="2"/>
  <c r="G376" i="2" s="1"/>
  <c r="I378" i="2"/>
  <c r="I384" i="2"/>
  <c r="I410" i="2"/>
  <c r="I423" i="2"/>
  <c r="I397" i="2"/>
  <c r="I399" i="2"/>
  <c r="G407" i="2"/>
  <c r="I416" i="2"/>
  <c r="G416" i="2" s="1"/>
  <c r="I418" i="2"/>
  <c r="I429" i="2"/>
  <c r="I431" i="2"/>
  <c r="I463" i="2"/>
  <c r="I471" i="2"/>
  <c r="I362" i="2"/>
  <c r="G362" i="2" s="1"/>
  <c r="I370" i="2"/>
  <c r="I400" i="2"/>
  <c r="G400" i="2" s="1"/>
  <c r="I402" i="2"/>
  <c r="G402" i="2" s="1"/>
  <c r="I432" i="2"/>
  <c r="I434" i="2"/>
  <c r="I495" i="2"/>
  <c r="I335" i="2"/>
  <c r="I337" i="2"/>
  <c r="G337" i="2" s="1"/>
  <c r="I340" i="2"/>
  <c r="I343" i="2"/>
  <c r="I345" i="2"/>
  <c r="I348" i="2"/>
  <c r="I351" i="2"/>
  <c r="I353" i="2"/>
  <c r="G353" i="2" s="1"/>
  <c r="I356" i="2"/>
  <c r="I359" i="2"/>
  <c r="I361" i="2"/>
  <c r="I364" i="2"/>
  <c r="I367" i="2"/>
  <c r="G367" i="2" s="1"/>
  <c r="I369" i="2"/>
  <c r="I372" i="2"/>
  <c r="I375" i="2"/>
  <c r="G379" i="2"/>
  <c r="I381" i="2"/>
  <c r="I383" i="2"/>
  <c r="I392" i="2"/>
  <c r="I394" i="2"/>
  <c r="I405" i="2"/>
  <c r="I407" i="2"/>
  <c r="I413" i="2"/>
  <c r="G413" i="2"/>
  <c r="I415" i="2"/>
  <c r="I424" i="2"/>
  <c r="I426" i="2"/>
  <c r="I439" i="2"/>
  <c r="I447" i="2"/>
  <c r="I455" i="2"/>
  <c r="I503" i="2"/>
  <c r="G503" i="2" s="1"/>
  <c r="I437" i="2"/>
  <c r="I440" i="2"/>
  <c r="I442" i="2"/>
  <c r="I445" i="2"/>
  <c r="I448" i="2"/>
  <c r="I450" i="2"/>
  <c r="I453" i="2"/>
  <c r="G453" i="2"/>
  <c r="I456" i="2"/>
  <c r="I458" i="2"/>
  <c r="I461" i="2"/>
  <c r="G461" i="2"/>
  <c r="I464" i="2"/>
  <c r="I466" i="2"/>
  <c r="I469" i="2"/>
  <c r="G469" i="2" s="1"/>
  <c r="I472" i="2"/>
  <c r="G472" i="2" s="1"/>
  <c r="I474" i="2"/>
  <c r="I477" i="2"/>
  <c r="I480" i="2"/>
  <c r="I482" i="2"/>
  <c r="G482" i="2" s="1"/>
  <c r="I485" i="2"/>
  <c r="I488" i="2"/>
  <c r="G488" i="2"/>
  <c r="I490" i="2"/>
  <c r="I493" i="2"/>
  <c r="I496" i="2"/>
  <c r="I498" i="2"/>
  <c r="G498" i="2"/>
  <c r="I501" i="2"/>
  <c r="I504" i="2"/>
  <c r="I506" i="2"/>
  <c r="I509" i="2"/>
  <c r="I511" i="2"/>
  <c r="I380" i="2"/>
  <c r="I388" i="2"/>
  <c r="I396" i="2"/>
  <c r="I404" i="2"/>
  <c r="G404" i="2" s="1"/>
  <c r="I412" i="2"/>
  <c r="I420" i="2"/>
  <c r="G428" i="2"/>
  <c r="I428" i="2"/>
  <c r="I436" i="2"/>
  <c r="I444" i="2"/>
  <c r="I452" i="2"/>
  <c r="I460" i="2"/>
  <c r="I468" i="2"/>
  <c r="I476" i="2"/>
  <c r="I484" i="2"/>
  <c r="G492" i="2"/>
  <c r="I492" i="2"/>
  <c r="I500" i="2"/>
  <c r="I508" i="2"/>
  <c r="I377" i="2"/>
  <c r="I379" i="2"/>
  <c r="I382" i="2"/>
  <c r="I385" i="2"/>
  <c r="I387" i="2"/>
  <c r="G387" i="2"/>
  <c r="I390" i="2"/>
  <c r="I393" i="2"/>
  <c r="I395" i="2"/>
  <c r="G395" i="2" s="1"/>
  <c r="I398" i="2"/>
  <c r="I401" i="2"/>
  <c r="G401" i="2"/>
  <c r="I403" i="2"/>
  <c r="I406" i="2"/>
  <c r="I409" i="2"/>
  <c r="I411" i="2"/>
  <c r="I414" i="2"/>
  <c r="I417" i="2"/>
  <c r="I419" i="2"/>
  <c r="G419" i="2" s="1"/>
  <c r="I422" i="2"/>
  <c r="I425" i="2"/>
  <c r="I427" i="2"/>
  <c r="G427" i="2" s="1"/>
  <c r="I430" i="2"/>
  <c r="I433" i="2"/>
  <c r="I435" i="2"/>
  <c r="I438" i="2"/>
  <c r="I441" i="2"/>
  <c r="I443" i="2"/>
  <c r="I446" i="2"/>
  <c r="I449" i="2"/>
  <c r="I451" i="2"/>
  <c r="I454" i="2"/>
  <c r="G454" i="2" s="1"/>
  <c r="I457" i="2"/>
  <c r="I459" i="2"/>
  <c r="I462" i="2"/>
  <c r="I465" i="2"/>
  <c r="I467" i="2"/>
  <c r="I470" i="2"/>
  <c r="I473" i="2"/>
  <c r="I475" i="2"/>
  <c r="I478" i="2"/>
  <c r="I481" i="2"/>
  <c r="I483" i="2"/>
  <c r="I486" i="2"/>
  <c r="I489" i="2"/>
  <c r="I491" i="2"/>
  <c r="G491" i="2" s="1"/>
  <c r="I494" i="2"/>
  <c r="I497" i="2"/>
  <c r="I499" i="2"/>
  <c r="I502" i="2"/>
  <c r="G502" i="2"/>
  <c r="I505" i="2"/>
  <c r="I507" i="2"/>
  <c r="I510" i="2"/>
  <c r="G4" i="2" l="1"/>
  <c r="G148" i="2"/>
  <c r="G507" i="2"/>
  <c r="G125" i="2"/>
  <c r="G420" i="2"/>
  <c r="G245" i="2"/>
  <c r="G229" i="2"/>
  <c r="G198" i="2"/>
  <c r="G414" i="2"/>
  <c r="G237" i="2"/>
  <c r="G168" i="2"/>
  <c r="G368" i="2"/>
  <c r="G501" i="2"/>
  <c r="G53" i="2"/>
  <c r="G160" i="2"/>
  <c r="G102" i="2"/>
  <c r="G178" i="2"/>
  <c r="G78" i="2"/>
  <c r="G172" i="2"/>
  <c r="G30" i="2"/>
  <c r="G243" i="2"/>
  <c r="G207" i="2"/>
  <c r="G6" i="2"/>
  <c r="G298" i="2"/>
  <c r="G242" i="2"/>
  <c r="G268" i="2"/>
  <c r="G2" i="2"/>
  <c r="G459" i="2"/>
  <c r="G382" i="2"/>
  <c r="G333" i="2"/>
  <c r="G261" i="2"/>
  <c r="G16" i="2"/>
  <c r="G301" i="2"/>
  <c r="G292" i="2"/>
  <c r="G325" i="2"/>
  <c r="G277" i="2"/>
  <c r="G176" i="2"/>
  <c r="G183" i="2"/>
  <c r="G73" i="2"/>
  <c r="G67" i="2"/>
  <c r="G241" i="2"/>
  <c r="G274" i="2"/>
  <c r="G214" i="2"/>
  <c r="G234" i="2"/>
  <c r="G146" i="2"/>
  <c r="G224" i="2"/>
  <c r="G17" i="2"/>
  <c r="G26" i="2"/>
  <c r="G21" i="2"/>
  <c r="G11" i="2"/>
  <c r="G71" i="2"/>
  <c r="G504" i="2"/>
  <c r="G430" i="2"/>
  <c r="G437" i="2"/>
  <c r="G271" i="2"/>
  <c r="G253" i="2"/>
  <c r="G417" i="2"/>
  <c r="G406" i="2"/>
  <c r="G493" i="2"/>
  <c r="G326" i="2"/>
  <c r="G287" i="2"/>
  <c r="G259" i="2"/>
  <c r="G136" i="2"/>
  <c r="G185" i="2"/>
  <c r="G159" i="2"/>
  <c r="G177" i="2"/>
  <c r="G145" i="2"/>
  <c r="G137" i="2"/>
  <c r="G117" i="2"/>
  <c r="G111" i="2"/>
  <c r="G32" i="2"/>
  <c r="G196" i="2"/>
  <c r="G88" i="2"/>
  <c r="G23" i="2"/>
  <c r="G85" i="2"/>
  <c r="G8" i="2"/>
  <c r="G106" i="2"/>
  <c r="G55" i="2"/>
  <c r="G455" i="2"/>
  <c r="G304" i="2"/>
  <c r="G307" i="2"/>
  <c r="G316" i="2"/>
  <c r="G265" i="2"/>
  <c r="G239" i="2"/>
  <c r="G220" i="2"/>
  <c r="G165" i="2"/>
  <c r="G466" i="2"/>
  <c r="G51" i="2"/>
  <c r="G46" i="2"/>
  <c r="G58" i="2"/>
  <c r="G390" i="2"/>
  <c r="G511" i="2"/>
  <c r="G410" i="2"/>
  <c r="G15" i="2"/>
  <c r="G442" i="2"/>
  <c r="G485" i="2"/>
  <c r="G476" i="2"/>
  <c r="G335" i="2"/>
  <c r="G293" i="2"/>
  <c r="G327" i="2"/>
  <c r="G203" i="2"/>
  <c r="G193" i="2"/>
  <c r="G278" i="2"/>
  <c r="G76" i="2"/>
  <c r="G122" i="2"/>
  <c r="G95" i="2"/>
  <c r="G42" i="2"/>
  <c r="G481" i="2"/>
  <c r="G445" i="2"/>
  <c r="G510" i="2"/>
  <c r="G456" i="2"/>
  <c r="G381" i="2"/>
  <c r="G483" i="2"/>
  <c r="G446" i="2"/>
  <c r="G422" i="2"/>
  <c r="G506" i="2"/>
  <c r="G440" i="2"/>
  <c r="G280" i="2"/>
  <c r="G258" i="2"/>
  <c r="G323" i="2"/>
  <c r="G299" i="2"/>
  <c r="G310" i="2"/>
  <c r="G134" i="2"/>
  <c r="G334" i="2"/>
  <c r="G126" i="2"/>
  <c r="G7" i="2"/>
  <c r="G226" i="2"/>
  <c r="G408" i="2"/>
  <c r="G321" i="2"/>
  <c r="G40" i="2"/>
  <c r="G426" i="2"/>
  <c r="G346" i="2"/>
  <c r="G364" i="2"/>
  <c r="G133" i="2"/>
  <c r="G48" i="2"/>
  <c r="G129" i="2"/>
  <c r="G499" i="2"/>
  <c r="G296" i="2"/>
  <c r="G329" i="2"/>
  <c r="G195" i="2"/>
  <c r="G186" i="2"/>
  <c r="G45" i="2"/>
  <c r="G124" i="2"/>
  <c r="G465" i="2"/>
  <c r="G471" i="2"/>
  <c r="G365" i="2"/>
  <c r="G100" i="2"/>
  <c r="G41" i="2"/>
  <c r="G25" i="2"/>
  <c r="G162" i="2"/>
  <c r="G74" i="2"/>
  <c r="G169" i="2"/>
  <c r="G92" i="2"/>
  <c r="G57" i="2"/>
  <c r="G291" i="2"/>
  <c r="G56" i="2"/>
  <c r="G345" i="2"/>
  <c r="G378" i="2"/>
  <c r="G391" i="2"/>
  <c r="G107" i="2"/>
  <c r="G50" i="2"/>
  <c r="G495" i="2"/>
  <c r="G458" i="2"/>
  <c r="G356" i="2"/>
  <c r="G462" i="2"/>
  <c r="G173" i="2"/>
  <c r="G348" i="2"/>
  <c r="G80" i="2"/>
  <c r="G36" i="2"/>
  <c r="G405" i="2"/>
  <c r="G279" i="2"/>
  <c r="G174" i="2"/>
  <c r="G63" i="2"/>
  <c r="G508" i="2"/>
  <c r="G411" i="2"/>
  <c r="G438" i="2"/>
  <c r="G255" i="2"/>
  <c r="G283" i="2"/>
  <c r="G286" i="2"/>
  <c r="G180" i="2"/>
  <c r="G90" i="2"/>
  <c r="G317" i="2"/>
  <c r="G64" i="2"/>
  <c r="G439" i="2"/>
  <c r="G315" i="2"/>
  <c r="G354" i="2"/>
  <c r="G418" i="2"/>
  <c r="G216" i="2"/>
  <c r="G187" i="2"/>
  <c r="G179" i="2"/>
  <c r="G139" i="2"/>
  <c r="G244" i="2"/>
  <c r="G68" i="2"/>
  <c r="G144" i="2"/>
  <c r="G47" i="2"/>
  <c r="G319" i="2"/>
  <c r="G235" i="2"/>
  <c r="G366" i="2"/>
  <c r="G19" i="2"/>
  <c r="G81" i="2"/>
  <c r="G70" i="2"/>
  <c r="G38" i="2"/>
  <c r="G489" i="2"/>
  <c r="G328" i="2"/>
  <c r="G82" i="2"/>
  <c r="G457" i="2"/>
  <c r="G409" i="2"/>
  <c r="G388" i="2"/>
  <c r="G496" i="2"/>
  <c r="G478" i="2"/>
  <c r="G288" i="2"/>
  <c r="G431" i="2"/>
  <c r="G397" i="2"/>
  <c r="G295" i="2"/>
  <c r="G451" i="2"/>
  <c r="G275" i="2"/>
  <c r="G424" i="2"/>
  <c r="G360" i="2"/>
  <c r="G308" i="2"/>
  <c r="G262" i="2"/>
  <c r="G221" i="2"/>
  <c r="G257" i="2"/>
  <c r="G297" i="2"/>
  <c r="G118" i="2"/>
  <c r="G12" i="2"/>
  <c r="G449" i="2"/>
  <c r="G359" i="2"/>
  <c r="G201" i="2"/>
  <c r="G194" i="2"/>
  <c r="G232" i="2"/>
  <c r="G156" i="2"/>
  <c r="G170" i="2"/>
  <c r="G83" i="2"/>
  <c r="G425" i="2"/>
  <c r="G484" i="2"/>
  <c r="G505" i="2"/>
  <c r="G486" i="2"/>
  <c r="G473" i="2"/>
  <c r="G403" i="2"/>
  <c r="G393" i="2"/>
  <c r="G385" i="2"/>
  <c r="G340" i="2"/>
  <c r="G434" i="2"/>
  <c r="G370" i="2"/>
  <c r="G384" i="2"/>
  <c r="G443" i="2"/>
  <c r="G423" i="2"/>
  <c r="G228" i="2"/>
  <c r="G138" i="2"/>
  <c r="G141" i="2"/>
  <c r="G166" i="2"/>
  <c r="G197" i="2"/>
  <c r="G104" i="2"/>
  <c r="G22" i="2"/>
  <c r="G20" i="2"/>
  <c r="G339" i="2"/>
  <c r="G374" i="2"/>
  <c r="G269" i="2"/>
  <c r="G240" i="2"/>
  <c r="G494" i="2"/>
  <c r="G238" i="2"/>
  <c r="G267" i="2"/>
  <c r="G252" i="2"/>
  <c r="G231" i="2"/>
  <c r="G155" i="2"/>
  <c r="G192" i="2"/>
  <c r="G132" i="2"/>
  <c r="G105" i="2"/>
  <c r="G119" i="2"/>
  <c r="G497" i="2"/>
  <c r="G464" i="2"/>
  <c r="G398" i="2"/>
  <c r="G205" i="2"/>
  <c r="G392" i="2"/>
  <c r="G351" i="2"/>
  <c r="G435" i="2"/>
  <c r="G460" i="2"/>
  <c r="G380" i="2"/>
  <c r="G509" i="2"/>
  <c r="G490" i="2"/>
  <c r="G480" i="2"/>
  <c r="G475" i="2"/>
  <c r="G383" i="2"/>
  <c r="G369" i="2"/>
  <c r="G331" i="2"/>
  <c r="G386" i="2"/>
  <c r="G189" i="2"/>
  <c r="G171" i="2"/>
  <c r="G212" i="2"/>
  <c r="G158" i="2"/>
  <c r="G142" i="2"/>
  <c r="G199" i="2"/>
  <c r="G204" i="2"/>
  <c r="G246" i="2"/>
  <c r="G161" i="2"/>
  <c r="G110" i="2"/>
  <c r="G60" i="2"/>
  <c r="G153" i="2"/>
  <c r="G43" i="2"/>
  <c r="G59" i="2"/>
  <c r="G98" i="2"/>
  <c r="G75" i="2"/>
  <c r="G14" i="2"/>
  <c r="G135" i="2"/>
  <c r="G52" i="2"/>
  <c r="G394" i="2"/>
  <c r="G389" i="2"/>
  <c r="G233" i="2"/>
  <c r="G222" i="2"/>
  <c r="G247" i="2"/>
  <c r="G318" i="2"/>
  <c r="G444" i="2"/>
  <c r="G372" i="2"/>
  <c r="G343" i="2"/>
  <c r="G432" i="2"/>
  <c r="G399" i="2"/>
  <c r="G396" i="2"/>
  <c r="G415" i="2"/>
  <c r="G450" i="2"/>
  <c r="G357" i="2"/>
  <c r="G312" i="2"/>
  <c r="G248" i="2"/>
  <c r="G487" i="2"/>
  <c r="G421" i="2"/>
  <c r="G324" i="2"/>
  <c r="G302" i="2"/>
  <c r="G249" i="2"/>
  <c r="G217" i="2"/>
  <c r="G190" i="2"/>
  <c r="G332" i="2"/>
  <c r="G281" i="2"/>
  <c r="G361" i="2"/>
  <c r="G200" i="2"/>
  <c r="G163" i="2"/>
  <c r="G123" i="2"/>
  <c r="G202" i="2"/>
  <c r="G108" i="2"/>
  <c r="G89" i="2"/>
  <c r="G175" i="2"/>
  <c r="G103" i="2"/>
  <c r="G101" i="2"/>
  <c r="G79" i="2"/>
  <c r="G66" i="2"/>
  <c r="G34" i="2"/>
  <c r="G44" i="2"/>
  <c r="G152" i="2"/>
  <c r="G131" i="2"/>
  <c r="G86" i="2"/>
  <c r="G37" i="2"/>
  <c r="G470" i="2"/>
  <c r="G441" i="2"/>
  <c r="G377" i="2"/>
  <c r="G500" i="2"/>
  <c r="G412" i="2"/>
  <c r="G477" i="2"/>
  <c r="G429" i="2"/>
  <c r="G320" i="2"/>
  <c r="G282" i="2"/>
  <c r="G338" i="2"/>
  <c r="G311" i="2"/>
  <c r="G260" i="2"/>
  <c r="G225" i="2"/>
  <c r="G313" i="2"/>
  <c r="G112" i="2"/>
  <c r="G114" i="2"/>
  <c r="G84" i="2"/>
  <c r="G213" i="2"/>
  <c r="G191" i="2"/>
  <c r="G72" i="2"/>
  <c r="G3" i="2"/>
  <c r="G54" i="2"/>
  <c r="G31" i="2"/>
  <c r="G9" i="2"/>
  <c r="G18" i="2"/>
  <c r="G264" i="2"/>
  <c r="G467" i="2"/>
  <c r="G433" i="2"/>
  <c r="G468" i="2"/>
  <c r="G452" i="2"/>
  <c r="G436" i="2"/>
  <c r="G448" i="2"/>
  <c r="G375" i="2"/>
  <c r="G463" i="2"/>
  <c r="G256" i="2"/>
  <c r="G349" i="2"/>
  <c r="G479" i="2"/>
  <c r="G341" i="2"/>
  <c r="G303" i="2"/>
  <c r="G273" i="2"/>
  <c r="G206" i="2"/>
  <c r="G358" i="2"/>
  <c r="G227" i="2"/>
  <c r="G182" i="2"/>
  <c r="G150" i="2"/>
  <c r="G210" i="2"/>
  <c r="G167" i="2"/>
  <c r="G143" i="2"/>
  <c r="G77" i="2"/>
  <c r="G113" i="2"/>
  <c r="G39" i="2"/>
</calcChain>
</file>

<file path=xl/sharedStrings.xml><?xml version="1.0" encoding="utf-8"?>
<sst xmlns="http://schemas.openxmlformats.org/spreadsheetml/2006/main" count="2530" uniqueCount="52">
  <si>
    <t>Readme</t>
  </si>
  <si>
    <t>As Agenzia del Entrate is only checking the length or plausibility of existence for codice fiscale</t>
  </si>
  <si>
    <t>Gender</t>
  </si>
  <si>
    <t>Date of Birth (MM/DD/YYYY)</t>
  </si>
  <si>
    <t>Codice Fiscale</t>
  </si>
  <si>
    <t>Score</t>
  </si>
  <si>
    <t>Check 1</t>
  </si>
  <si>
    <t>Check 2</t>
  </si>
  <si>
    <t>Check 3</t>
  </si>
  <si>
    <t>Check 4</t>
  </si>
  <si>
    <t>Check 5</t>
  </si>
  <si>
    <t>Check 6</t>
  </si>
  <si>
    <t>MARCO</t>
  </si>
  <si>
    <t>BIANCHI</t>
  </si>
  <si>
    <t>FRANCESCA</t>
  </si>
  <si>
    <t>SARA</t>
  </si>
  <si>
    <t>ANDREA</t>
  </si>
  <si>
    <t>MATTEO</t>
  </si>
  <si>
    <t>ESPOSITO</t>
  </si>
  <si>
    <t>LUCA</t>
  </si>
  <si>
    <t>ROMANO</t>
  </si>
  <si>
    <t>CHIARA</t>
  </si>
  <si>
    <t>RICCI</t>
  </si>
  <si>
    <t>FERRARI</t>
  </si>
  <si>
    <t>❌ FAIL: Invalid CF</t>
  </si>
  <si>
    <t>✅ PASS - Last letter check OK</t>
  </si>
  <si>
    <t>❌ INVALID</t>
  </si>
  <si>
    <t>MALE</t>
  </si>
  <si>
    <t>❌ INVALID CF</t>
  </si>
  <si>
    <t>VERDI</t>
  </si>
  <si>
    <t>FEMALE</t>
  </si>
  <si>
    <t>SPSRRA00S70A944P</t>
  </si>
  <si>
    <t>RCCNDR97E18D612T</t>
  </si>
  <si>
    <t>COLOMBO</t>
  </si>
  <si>
    <t>CMBCHR96B66D969V</t>
  </si>
  <si>
    <t>RMNMTT99M14A662F</t>
  </si>
  <si>
    <t>✅ PASS - ROMA (RM)</t>
  </si>
  <si>
    <t>✅ PASS - NAPOLI (NA)</t>
  </si>
  <si>
    <t>✅ PASS - TORINO (TO)</t>
  </si>
  <si>
    <t>✅ PASS - BOLOGNA (BO)</t>
  </si>
  <si>
    <t>✅ PASS - FIRENZE (FI)</t>
  </si>
  <si>
    <t>✅ PASS - GENOVA (GE)</t>
  </si>
  <si>
    <t>✅ PASS - BARI (BA)</t>
  </si>
  <si>
    <t>❌ WRONG (should be D)</t>
  </si>
  <si>
    <t>❌ WRONG (should be W)</t>
  </si>
  <si>
    <t>❌ WRONG (should be N)</t>
  </si>
  <si>
    <t>BNCMRC95T03H501D</t>
  </si>
  <si>
    <t>VRDFNC01L61F839R</t>
  </si>
  <si>
    <t>FRRLCU92C09L219F</t>
  </si>
  <si>
    <t>Based on the following entries, it gives you a confidence score that your codice fiscale is indeed correct, compared to Physical person data.</t>
  </si>
  <si>
    <t>Name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</si>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</sst>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6AA668"/>
      <name val="&quot;Geist Mono&quot;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164" fontId="1" fillId="0" borderId="0" xfId="0" applyNumberFormat="1" applyFont="1"/>
    <xf numFmtId="0" fontId="4" fillId="0" borderId="0" xfId="0" applyFont="1"/>
    <xf numFmtId="0" fontId="5" fillId="0" borderId="0" xfId="0" applyFont="1"/>
    <xf numFmtId="14" fontId="4" fillId="0" borderId="0" xfId="0" applyNumberFormat="1" applyFo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Readme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3">
  <tableColumns count="1">
    <tableColumn id="1" xr3:uid="{00000000-0010-0000-0000-000001000000}" name="Readme"/>
  </tableColumns>
  <tableStyleInfo name="Readm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3"/>
  <sheetViews>
    <sheetView workbookViewId="0">
      <pane ySplit="1" topLeftCell="A2" activePane="bottomLeft" state="frozen"/>
      <selection pane="bottomLeft" activeCell="A6" sqref="A6"/>
    </sheetView>
  </sheetViews>
  <sheetFormatPr baseColWidth="10" defaultColWidth="12.6640625" defaultRowHeight="15.75" customHeight="1"/>
  <cols>
    <col min="1" max="1" width="111.6640625" bestFit="1" customWidth="1"/>
  </cols>
  <sheetData>
    <row r="1" spans="1:1" ht="22.5" customHeight="1">
      <c r="A1" s="1" t="s">
        <v>0</v>
      </c>
    </row>
    <row r="2" spans="1:1" ht="22.5" customHeight="1">
      <c r="A2" s="2" t="s">
        <v>1</v>
      </c>
    </row>
    <row r="3" spans="1:1" ht="22.5" customHeight="1">
      <c r="A3" s="2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abSelected="1" zoomScale="120" zoomScaleNormal="120" workbookViewId="0">
      <selection activeCell="C10" sqref="C10"/>
    </sheetView>
  </sheetViews>
  <sheetFormatPr baseColWidth="10" defaultColWidth="12.6640625" defaultRowHeight="0" customHeight="1" zeroHeight="1"/>
  <cols>
    <col min="1" max="1" width="17.6640625" customWidth="1"/>
    <col min="2" max="2" width="14.5" customWidth="1"/>
    <col min="3" max="3" width="6.83203125" customWidth="1"/>
    <col min="4" max="4" width="23.1640625" customWidth="1"/>
    <col min="5" max="5" width="21.1640625" customWidth="1"/>
    <col min="6" max="6" width="3.1640625" customWidth="1"/>
    <col min="7" max="7" width="71.1640625" customWidth="1"/>
    <col min="8" max="8" width="2.6640625" customWidth="1"/>
    <col min="9" max="9" width="31.1640625" customWidth="1"/>
    <col min="10" max="10" width="55.1640625" customWidth="1"/>
    <col min="11" max="11" width="41.1640625" customWidth="1"/>
    <col min="12" max="12" width="49.6640625" customWidth="1"/>
    <col min="13" max="13" width="41.1640625" customWidth="1"/>
    <col min="14" max="14" width="36.6640625" customWidth="1"/>
  </cols>
  <sheetData>
    <row r="1" spans="1:15" ht="13">
      <c r="A1" s="3" t="s">
        <v>50</v>
      </c>
      <c r="B1" s="3" t="s">
        <v>51</v>
      </c>
      <c r="C1" s="3" t="s">
        <v>2</v>
      </c>
      <c r="D1" s="3" t="s">
        <v>3</v>
      </c>
      <c r="E1" s="3" t="s">
        <v>4</v>
      </c>
      <c r="F1" s="4"/>
      <c r="G1" s="3" t="s">
        <v>5</v>
      </c>
      <c r="H1" s="3"/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5" ht="13">
      <c r="A2" s="7" t="s">
        <v>12</v>
      </c>
      <c r="B2" s="7" t="s">
        <v>13</v>
      </c>
      <c r="C2" s="7" t="s">
        <v>27</v>
      </c>
      <c r="D2" s="9">
        <v>35036</v>
      </c>
      <c r="E2" s="7" t="s">
        <v>46</v>
      </c>
      <c r="F2" s="5"/>
      <c r="G2" s="5" t="str">
        <f>_xlfn.LET(
  _xlpm.check1_score, IF(ISNUMBER(SEARCH("✅", I2)), 10, 0),
  _xlpm.check2_score, IF(ISNUMBER(SEARCH("✅", J2)), 20, 0),
  _xlpm.check3_score, IF(ISNUMBER(SEARCH("✅", K2)), 10, 0),
  _xlpm.check4_score, IF(ISNUMBER(SEARCH("50/50", L2)), 40, IF(ISNUMBER(SEARCH("/50", L2)), VALUE(MID(L2, SEARCH("- ", L2) + 2, SEARCH("/50", L2) - SEARCH("- ", L2) - 2)) * 0.8, 0)),
  _xlpm.check5_score, IF(ISNUMBER(SEARCH("✅", M2)), 10, 0),
  _xlpm.check6_score, IF(ISNUMBER(SEARCH("✅", N2)), 10, 0),
  _xlpm.total_score,_xlfn.SINGLE( _xlpm.check1_score) +_xlfn.SINGLE( _xlpm.check2_score) +_xlfn.SINGLE( _xlpm.check3_score) +_xlfn.SINGLE( _xlpm.check4_score) +_xlfn.SINGLE( _xlpm.check5_score) +_xlfn.SINGLE( _xlpm.check6_score),
  _xlpm.failed_checks, 6 - (IF(_xlfn.SINGLE(_xlpm.check1_score)&gt;0,1,0) + IF(_xlfn.SINGLE(_xlpm.check2_score)&gt;0,1,0) + IF(_xlfn.SINGLE(_xlpm.check3_score)&gt;0,1,0) + IF(_xlfn.SINGLE(_xlpm.check4_score)&gt;=20,1,0) + IF(_xlfn.SINGLE(_xlpm.check5_score)&gt;0,1,0) + IF(_xlfn.SINGLE(_xlpm.check6_score)&gt;0,1,0)),
  _xlpm.length_fail,_xlfn.SINGLE( _xlpm.check1_score) = 0,
  IF(_xlfn.SINGLE(_xlpm.total_score) = 100,
    "🎯 PERFECT MATCH: 100% - Codice Fiscale is fully valid",
    IF(_xlfn.SINGLE(_xlpm.total_score) &gt;= 90,
      "✅ EXCELLENT: " &amp;_xlfn.SINGLE( _xlpm.total_score) &amp; "% - Very likely valid, minor verification recommended",
      IF(_xlfn.SINGLE(_xlpm.total_score) &gt;= 75,
        IF(AND(_xlfn.SINGLE(_xlpm.failed_checks) = 1, _xlpm.length_fail),
          "⚠️ SCORE: " &amp;_xlfn.SINGLE( _xlpm.total_score) &amp; "% - Check any typo in Codice Fiscale length (should be 16 characters)",
          "⚠️ SCORE: " &amp;_xlfn.SINGLE( _xlpm.total_score) &amp; "% - Not a perfect match, check for any typo"
        ),
        IF(_xlfn.SINGLE(_xlpm.total_score) &gt;= 50,
          "⚠️ SCORE: " &amp;_xlfn.SINGLE( _xlpm.total_score) &amp; "% - Significant issues detected, verify all data carefully",
          "❌ FAILED: " &amp;_xlfn.SINGLE( _xlpm.total_score) &amp; "% - This person has probably not the right Codice Fiscale"
        )
      )
    )
  )
)</f>
        <v>🎯 PERFECT MATCH: 100% - Codice Fiscale is fully valid</v>
      </c>
      <c r="H2" s="5"/>
      <c r="I2" s="5" t="str">
        <f t="shared" ref="I2:I256" si="0">IF(LEN(E2)=16, "✅ PASS - Length OK (16 chars)", "❌ FAIL - Wrong length (" &amp; LEN(E2) &amp; "/16 chars)")</f>
        <v>✅ PASS - Length OK (16 chars)</v>
      </c>
      <c r="J2" s="5" t="str">
        <f>_xlfn.LET(
  _xlpm.cf, UPPER(E2),
  _xlpm.data, D2,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✅ PASS - Date matches (95T3)</v>
      </c>
      <c r="K2" s="5" t="str">
        <f>_xlfn.LET(
  _xlpm.cf, UPPER(E2),
  _xlpm.gender_input, UPPER(C2),
  _xlpm.day_cf, VALUE(MID(_xlpm.cf, 10, 2)),
  _xlpm.cf_indicates_female, _xlpm.day_cf &gt; 40,
  _xlpm.input_is_female, _xlpm.gender_input = "FEMALE",
  _xlpm.gender_match, _xlpm.cf_indicates_female = _xlpm.input_is_female,
  IF(
    _xlpm.gender_match,
    "✅ PASS - Gender: " &amp; IF(_xlpm.input_is_female, "Female", "Male") &amp; " (day: " &amp; IF(_xlpm.cf_indicates_female, _xlpm.day_cf-40, _xlpm.day_cf) &amp; ")",
    "❌ FAIL - Gender mismatch: CF indicates " &amp;
      IF(_xlpm.cf_indicates_female, "Female (+40)", "Male") &amp;
      " (day: " &amp; IF(_xlpm.cf_indicates_female, _xlpm.day_cf-40, _xlpm.day_cf) &amp; ") but person is " &amp;
      IF(_xlpm.input_is_female, "Female", "Male")
  )
)</f>
        <v>✅ PASS - Gender: Male (day: 3)</v>
      </c>
      <c r="L2" s="5" t="str">
        <f t="shared" ref="L2:L3" si="1">_xlfn.LET(
  _xlpm.cf_code, LEFT(UPPER(E2), 6),
  _xlpm.surname, UPPER(B2),
  _xlpm.name_clean, SUBSTITUTE(UPPER(A2), " ", ""),
  _xlpm.s_cons, SUBSTITUTE(SUBSTITUTE(SUBSTITUTE(SUBSTITUTE(SUBSTITUTE(_xlfn.SINGLE(_xlpm.surname), "A", ""), "E", ""), "I", ""), "O", ""), "U", ""),
  _xlpm.s_vowels, SUBSTITUTE(SUBSTITUTE(SUBSTITUTE(SUBSTITUTE(SUBSTITUTE(SUBSTITUTE(SUBSTITUTE(SUBSTITUTE(SUBSTITUTE(SUBSTITUTE(SUBSTITUTE(SUBSTITUTE(SUBSTITUTE(SUBSTITUTE(SUBSTITUTE(SUBSTITUTE(SUBSTITUTE(SUBSTITUTE(SUBSTITUTE(SUBSTITUTE(SUBSTITUTE(_xlfn.SINGLE(_xlpm.surname), "B", ""), "C", ""), "D", ""), "F", ""), "G", ""), "H", ""), "J", ""), "K", ""), "L", ""), "M", ""), "N", ""), "P", ""), "Q", ""), "R", ""), "S", ""), "T", ""), "V", ""), "W", ""), "X", ""), "Y", ""), "Z", ""),
  _xlpm.n_cons, SUBSTITUTE(SUBSTITUTE(SUBSTITUTE(SUBSTITUTE(SUBSTITUTE(_xlfn.SINGLE(_xlpm.name_clean), "A", ""), "E", ""), "I", ""), "O", ""), "U", ""),
  _xlpm.n_vowels, SUBSTITUTE(SUBSTITUTE(SUBSTITUTE(SUBSTITUTE(SUBSTITUTE(SUBSTITUTE(SUBSTITUTE(SUBSTITUTE(SUBSTITUTE(SUBSTITUTE(SUBSTITUTE(SUBSTITUTE(SUBSTITUTE(SUBSTITUTE(SUBSTITUTE(SUBSTITUTE(SUBSTITUTE(SUBSTITUTE(SUBSTITUTE(SUBSTITUTE(SUBSTITUTE(_xlfn.SINGLE(_xlpm.name_clean), "B", ""), "C", ""), "D", ""), "F", ""), "G", ""), "H", ""), "J", ""), "K", ""), "L", ""), "M", ""), "N", ""), "P", ""), "Q", ""), "R", ""), "S", ""), "T", ""), "V", ""), "W", ""), "X", ""), "Y", ""), "Z", ""),
  _xlpm.surname_code, IF(LEN(_xlfn.SINGLE(_xlpm.s_cons)) &gt;= 3, LEFT(_xlfn.SINGLE(_xlpm.s_cons), 3), IF(LEN(_xlfn.SINGLE(_xlpm.s_cons)) = 2,_xlfn.SINGLE( _xlpm.s_cons) &amp; LEFT(_xlfn.SINGLE(_xlpm.s_vowels), 1), IF(LEN(_xlfn.SINGLE(_xlpm.s_cons)) = 1, LEFT(_xlfn.SINGLE(_xlpm.s_cons) &amp;_xlfn.SINGLE( _xlpm.s_vowels) &amp; "XX", 3), LEFT(_xlfn.SINGLE(_xlpm.s_vowels) &amp; "XX", 3)))),
  _xlpm.name_code, IF(LEN(_xlfn.SINGLE(_xlpm.n_cons)) &gt;= 4,
    MID(_xlfn.SINGLE(_xlpm.n_cons),1,1) &amp; MID(_xlfn.SINGLE(_xlpm.n_cons),3,1) &amp; MID(_xlfn.SINGLE(_xlpm.n_cons),4,1),
    IF(LEN(_xlfn.SINGLE(_xlpm.n_cons)) = 3,
      LEFT(_xlfn.SINGLE(_xlpm.n_cons), 3),
      LEFT(_xlfn.SINGLE(_xlpm.n_cons) &amp;_xlfn.SINGLE( _xlpm.n_vowels) &amp; "XXX", 3)
    )
  ),
  _xlpm.expected,_xlfn.SINGLE( _xlpm.surname_code) &amp;_xlfn.SINGLE( _xlpm.name_code),
  _xlpm.matches, (IF(MID(_xlfn.SINGLE(_xlpm.expected),1,1)=MID(_xlfn.SINGLE(_xlpm.cf_code),1,1),1,0))+(IF(MID(_xlfn.SINGLE(_xlpm.expected),2,1)=MID(_xlfn.SINGLE(_xlpm.cf_code),2,1),1,0))+(IF(MID(_xlfn.SINGLE(_xlpm.expected),3,1)=MID(_xlfn.SINGLE(_xlpm.cf_code),3,1),1,0))+(IF(MID(_xlfn.SINGLE(_xlpm.expected),4,1)=MID(_xlfn.SINGLE(_xlpm.cf_code),4,1),1,0))+(IF(MID(_xlfn.SINGLE(_xlpm.expected),5,1)=MID(_xlfn.SINGLE(_xlpm.cf_code),5,1),1,0))+(IF(MID(_xlfn.SINGLE(_xlpm.expected),6,1)=MID(_xlfn.SINGLE(_xlpm.cf_code),6,1),1,0)),
  IF(_xlfn.SINGLE(_xlpm.matches)=6, "✅ PASS - 50/50 points", "❌ FAIL - " &amp; ROUND(_xlfn.SINGLE(_xlpm.matches)/6*50,0) &amp; "/50 points (" &amp;_xlfn.SINGLE( _xlpm.matches) &amp; "/6) - Expected: " &amp;_xlfn.SINGLE( _xlpm.expected) &amp; ", Found: " &amp;_xlfn.SINGLE( _xlpm.cf_code))
)</f>
        <v>✅ PASS - 50/50 points</v>
      </c>
      <c r="M2" s="5" t="s">
        <v>36</v>
      </c>
      <c r="N2" s="5" t="s">
        <v>25</v>
      </c>
      <c r="O2" s="7"/>
    </row>
    <row r="3" spans="1:15" ht="13">
      <c r="A3" s="7" t="s">
        <v>14</v>
      </c>
      <c r="B3" s="7" t="s">
        <v>29</v>
      </c>
      <c r="C3" s="7" t="s">
        <v>30</v>
      </c>
      <c r="D3" s="9">
        <v>37093</v>
      </c>
      <c r="E3" s="7" t="s">
        <v>47</v>
      </c>
      <c r="G3" s="5" t="str">
        <f t="shared" ref="G3:G66" si="2">_xlfn.LET(
  _xlpm.check1_score, IF(ISNUMBER(SEARCH("✅", I3)), 10, 0),
  _xlpm.check2_score, IF(ISNUMBER(SEARCH("✅", J3)), 20, 0),
  _xlpm.check3_score, IF(ISNUMBER(SEARCH("✅", K3)), 10, 0),
  _xlpm.check4_score, IF(ISNUMBER(SEARCH("50/50", L3)), 40, IF(ISNUMBER(SEARCH("/50", L3)), VALUE(MID(L3, SEARCH("- ", L3) + 2, SEARCH("/50", L3) - SEARCH("- ", L3) - 2)) * 0.8, 0)),
  _xlpm.check5_score, IF(ISNUMBER(SEARCH("✅", M3)), 10, 0),
  _xlpm.check6_score, IF(ISNUMBER(SEARCH("✅", N3)), 10, 0),
  _xlpm.total_score,_xlfn.SINGLE( _xlpm.check1_score) +_xlfn.SINGLE( _xlpm.check2_score) +_xlfn.SINGLE( _xlpm.check3_score) +_xlfn.SINGLE( _xlpm.check4_score) +_xlfn.SINGLE( _xlpm.check5_score) +_xlfn.SINGLE( _xlpm.check6_score),
  _xlpm.failed_checks, 6 - (IF(_xlfn.SINGLE(_xlpm.check1_score)&gt;0,1,0) + IF(_xlfn.SINGLE(_xlpm.check2_score)&gt;0,1,0) + IF(_xlfn.SINGLE(_xlpm.check3_score)&gt;0,1,0) + IF(_xlfn.SINGLE(_xlpm.check4_score)&gt;=20,1,0) + IF(_xlfn.SINGLE(_xlpm.check5_score)&gt;0,1,0) + IF(_xlfn.SINGLE(_xlpm.check6_score)&gt;0,1,0)),
  _xlpm.length_fail,_xlfn.SINGLE( _xlpm.check1_score) = 0,
  IF(_xlfn.SINGLE(_xlpm.total_score) = 100,
    "🎯 PERFECT MATCH: 100% - Codice Fiscale is fully valid",
    IF(_xlfn.SINGLE(_xlpm.total_score) &gt;= 90,
      "✅ EXCELLENT: " &amp;_xlfn.SINGLE( _xlpm.total_score) &amp; "% - Very likely valid, minor verification recommended",
      IF(_xlfn.SINGLE(_xlpm.total_score) &gt;= 75,
        IF(AND(_xlfn.SINGLE(_xlpm.failed_checks) = 1, _xlpm.length_fail),
          "⚠️ SCORE: " &amp;_xlfn.SINGLE( _xlpm.total_score) &amp; "% - Check any typo in Codice Fiscale length (should be 16 characters)",
          "⚠️ SCORE: " &amp;_xlfn.SINGLE( _xlpm.total_score) &amp; "% - Not a perfect match, check for any typo"
        ),
        IF(_xlfn.SINGLE(_xlpm.total_score) &gt;= 50,
          "⚠️ SCORE: " &amp;_xlfn.SINGLE( _xlpm.total_score) &amp; "% - Significant issues detected, verify all data carefully",
          "❌ FAILED: " &amp;_xlfn.SINGLE( _xlpm.total_score) &amp; "% - This person has probably not the right Codice Fiscale"
        )
      )
    )
  )
)</f>
        <v>🎯 PERFECT MATCH: 100% - Codice Fiscale is fully valid</v>
      </c>
      <c r="H3" s="5"/>
      <c r="I3" s="5" t="str">
        <f t="shared" si="0"/>
        <v>✅ PASS - Length OK (16 chars)</v>
      </c>
      <c r="J3" s="5" t="str">
        <f>_xlfn.LET(
  _xlpm.cf, UPPER(E3),
  _xlpm.data, D3,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✅ PASS - Date matches (01L61)</v>
      </c>
      <c r="K3" s="5" t="str">
        <f t="shared" ref="K3:K66" si="3">_xlfn.LET(
  _xlpm.cf, UPPER(E3),
  _xlpm.gender_input, UPPER(C3),
  _xlpm.day_cf, VALUE(MID(_xlpm.cf, 10, 2)),
  _xlpm.cf_indicates_female, _xlpm.day_cf &gt; 40,
  _xlpm.input_is_female, _xlpm.gender_input = "FEMALE",
  _xlpm.gender_match, _xlpm.cf_indicates_female = _xlpm.input_is_female,
  IF(
    _xlpm.gender_match,
    "✅ PASS - Gender: " &amp; IF(_xlpm.input_is_female, "Female", "Male") &amp; " (day: " &amp; IF(_xlpm.cf_indicates_female, _xlpm.day_cf-40, _xlpm.day_cf) &amp; ")",
    "❌ FAIL - Gender mismatch: CF indicates " &amp;
      IF(_xlpm.cf_indicates_female, "Female (+40)", "Male") &amp;
      " (day: " &amp; IF(_xlpm.cf_indicates_female, _xlpm.day_cf-40, _xlpm.day_cf) &amp; ") but person is " &amp;
      IF(_xlpm.input_is_female, "Female", "Male")
  )
)</f>
        <v>✅ PASS - Gender: Female (day: 21)</v>
      </c>
      <c r="L3" s="5" t="str">
        <f t="shared" si="1"/>
        <v>✅ PASS - 50/50 points</v>
      </c>
      <c r="M3" s="5" t="s">
        <v>37</v>
      </c>
      <c r="N3" s="5" t="s">
        <v>25</v>
      </c>
    </row>
    <row r="4" spans="1:15" ht="13">
      <c r="A4" s="7" t="s">
        <v>19</v>
      </c>
      <c r="B4" s="7" t="s">
        <v>23</v>
      </c>
      <c r="C4" s="7" t="s">
        <v>27</v>
      </c>
      <c r="D4" s="9">
        <v>33672</v>
      </c>
      <c r="E4" s="7" t="s">
        <v>48</v>
      </c>
      <c r="G4" s="5" t="str">
        <f t="shared" si="2"/>
        <v>🎯 PERFECT MATCH: 100% - Codice Fiscale is fully valid</v>
      </c>
      <c r="H4" s="5"/>
      <c r="I4" s="5" t="str">
        <f t="shared" si="0"/>
        <v>✅ PASS - Length OK (16 chars)</v>
      </c>
      <c r="J4" s="5" t="str">
        <f>_xlfn.LET(
  _xlpm.cf, UPPER(E4),
  _xlpm.data, D4,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✅ PASS - Date matches (92C9)</v>
      </c>
      <c r="K4" s="5" t="str">
        <f t="shared" si="3"/>
        <v>✅ PASS - Gender: Male (day: 9)</v>
      </c>
      <c r="L4" s="5" t="str">
        <f>_xlfn.LET(
  _xlpm.cf_code, LEFT(UPPER(E4), 6),
  _xlpm.surname, UPPER(B4),
  _xlpm.name_clean, SUBSTITUTE(UPPER(A4), " ", ""),
  _xlpm.s_cons, SUBSTITUTE(SUBSTITUTE(SUBSTITUTE(SUBSTITUTE(SUBSTITUTE(_xlfn.SINGLE(_xlpm.surname), "A", ""), "E", ""), "I", ""), "O", ""), "U", ""),
  _xlpm.s_vowels, SUBSTITUTE(SUBSTITUTE(SUBSTITUTE(SUBSTITUTE(SUBSTITUTE(SUBSTITUTE(SUBSTITUTE(SUBSTITUTE(SUBSTITUTE(SUBSTITUTE(SUBSTITUTE(SUBSTITUTE(SUBSTITUTE(SUBSTITUTE(SUBSTITUTE(SUBSTITUTE(SUBSTITUTE(SUBSTITUTE(SUBSTITUTE(SUBSTITUTE(SUBSTITUTE(_xlfn.SINGLE(_xlpm.surname), "B", ""), "C", ""), "D", ""), "F", ""), "G", ""), "H", ""), "J", ""), "K", ""), "L", ""), "M", ""), "N", ""), "P", ""), "Q", ""), "R", ""), "S", ""), "T", ""), "V", ""), "W", ""), "X", ""), "Y", ""), "Z", ""),
  _xlpm.n_cons, SUBSTITUTE(SUBSTITUTE(SUBSTITUTE(SUBSTITUTE(SUBSTITUTE(_xlfn.SINGLE(_xlpm.name_clean), "A", ""), "E", ""), "I", ""), "O", ""), "U", ""),
  _xlpm.n_vowels, SUBSTITUTE(SUBSTITUTE(SUBSTITUTE(SUBSTITUTE(SUBSTITUTE(SUBSTITUTE(SUBSTITUTE(SUBSTITUTE(SUBSTITUTE(SUBSTITUTE(SUBSTITUTE(SUBSTITUTE(SUBSTITUTE(SUBSTITUTE(SUBSTITUTE(SUBSTITUTE(SUBSTITUTE(SUBSTITUTE(SUBSTITUTE(SUBSTITUTE(SUBSTITUTE(_xlfn.SINGLE(_xlpm.name_clean), "B", ""), "C", ""), "D", ""), "F", ""), "G", ""), "H", ""), "J", ""), "K", ""), "L", ""), "M", ""), "N", ""), "P", ""), "Q", ""), "R", ""), "S", ""), "T", ""), "V", ""), "W", ""), "X", ""), "Y", ""), "Z", ""),
  _xlpm.surname_code, IF(LEN(_xlfn.SINGLE(_xlpm.s_cons)) &gt;= 3, LEFT(_xlfn.SINGLE(_xlpm.s_cons), 3), IF(LEN(_xlfn.SINGLE(_xlpm.s_cons)) = 2,_xlfn.SINGLE( _xlpm.s_cons) &amp; LEFT(_xlfn.SINGLE(_xlpm.s_vowels), 1), IF(LEN(_xlfn.SINGLE(_xlpm.s_cons)) = 1, LEFT(_xlfn.SINGLE(_xlpm.s_cons) &amp;_xlfn.SINGLE( _xlpm.s_vowels) &amp; "XX", 3), LEFT(_xlfn.SINGLE(_xlpm.s_vowels) &amp; "XX", 3)))),
  _xlpm.name_code, IF(LEN(_xlfn.SINGLE(_xlpm.n_cons)) &gt;= 4,
    MID(_xlfn.SINGLE(_xlpm.n_cons),1,1) &amp; MID(_xlfn.SINGLE(_xlpm.n_cons),3,1) &amp; MID(_xlfn.SINGLE(_xlpm.n_cons),4,1),
    IF(LEN(_xlfn.SINGLE(_xlpm.n_cons)) = 3,
      LEFT(_xlfn.SINGLE(_xlpm.n_cons), 3),
      LEFT(_xlfn.SINGLE(_xlpm.n_cons) &amp;_xlfn.SINGLE( _xlpm.n_vowels) &amp; "XXX", 3)
    )
  ),
  _xlpm.expected,_xlfn.SINGLE( _xlpm.surname_code) &amp;_xlfn.SINGLE( _xlpm.name_code),
  _xlpm.matches, (IF(MID(_xlfn.SINGLE(_xlpm.expected),1,1)=MID(_xlfn.SINGLE(_xlpm.cf_code),1,1),1,0))+(IF(MID(_xlfn.SINGLE(_xlpm.expected),2,1)=MID(_xlfn.SINGLE(_xlpm.cf_code),2,1),1,0))+(IF(MID(_xlfn.SINGLE(_xlpm.expected),3,1)=MID(_xlfn.SINGLE(_xlpm.cf_code),3,1),1,0))+(IF(MID(_xlfn.SINGLE(_xlpm.expected),4,1)=MID(_xlfn.SINGLE(_xlpm.cf_code),4,1),1,0))+(IF(MID(_xlfn.SINGLE(_xlpm.expected),5,1)=MID(_xlfn.SINGLE(_xlpm.cf_code),5,1),1,0))+(IF(MID(_xlfn.SINGLE(_xlpm.expected),6,1)=MID(_xlfn.SINGLE(_xlpm.cf_code),6,1),1,0)),
  IF(_xlfn.SINGLE(_xlpm.matches)=6, "✅ PASS - 50/50 points", "❌ FAIL - " &amp; ROUND(_xlfn.SINGLE(_xlpm.matches)/6*50,0) &amp; "/50 points (" &amp;_xlfn.SINGLE( _xlpm.matches) &amp; "/6) - Expected: " &amp;_xlfn.SINGLE( _xlpm.expected) &amp; ", Found: " &amp;_xlfn.SINGLE( _xlpm.cf_code))
)</f>
        <v>✅ PASS - 50/50 points</v>
      </c>
      <c r="M4" s="5" t="s">
        <v>38</v>
      </c>
      <c r="N4" s="5" t="s">
        <v>25</v>
      </c>
    </row>
    <row r="5" spans="1:15" ht="13">
      <c r="A5" s="7" t="s">
        <v>15</v>
      </c>
      <c r="B5" s="7" t="s">
        <v>18</v>
      </c>
      <c r="C5" s="7" t="s">
        <v>30</v>
      </c>
      <c r="D5" s="9">
        <v>36860</v>
      </c>
      <c r="E5" s="7" t="s">
        <v>31</v>
      </c>
      <c r="F5" s="8"/>
      <c r="G5" s="5" t="str">
        <f t="shared" si="2"/>
        <v>✅ EXCELLENT: 93.6% - Very likely valid, minor verification recommended</v>
      </c>
      <c r="I5" s="5" t="str">
        <f t="shared" si="0"/>
        <v>✅ PASS - Length OK (16 chars)</v>
      </c>
      <c r="J5" s="5" t="str">
        <f>_xlfn.LET(
  _xlpm.cf, UPPER(E5),
  _xlpm.data, D5,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✅ PASS - Date matches (00S70)</v>
      </c>
      <c r="K5" s="5" t="str">
        <f t="shared" si="3"/>
        <v>✅ PASS - Gender: Female (day: 30)</v>
      </c>
      <c r="L5" s="5" t="str">
        <f t="shared" ref="L5:L68" si="4">_xlfn.LET(
  _xlpm.cf_code, LEFT(UPPER(E5), 6),
  _xlpm.surname, UPPER(B5),
  _xlpm.name_clean, SUBSTITUTE(UPPER(A5), " ", ""),
  _xlpm.s_cons, SUBSTITUTE(SUBSTITUTE(SUBSTITUTE(SUBSTITUTE(SUBSTITUTE(_xlfn.SINGLE(_xlpm.surname), "A", ""), "E", ""), "I", ""), "O", ""), "U", ""),
  _xlpm.s_vowels, SUBSTITUTE(SUBSTITUTE(SUBSTITUTE(SUBSTITUTE(SUBSTITUTE(SUBSTITUTE(SUBSTITUTE(SUBSTITUTE(SUBSTITUTE(SUBSTITUTE(SUBSTITUTE(SUBSTITUTE(SUBSTITUTE(SUBSTITUTE(SUBSTITUTE(SUBSTITUTE(SUBSTITUTE(SUBSTITUTE(SUBSTITUTE(SUBSTITUTE(SUBSTITUTE(_xlfn.SINGLE(_xlpm.surname), "B", ""), "C", ""), "D", ""), "F", ""), "G", ""), "H", ""), "J", ""), "K", ""), "L", ""), "M", ""), "N", ""), "P", ""), "Q", ""), "R", ""), "S", ""), "T", ""), "V", ""), "W", ""), "X", ""), "Y", ""), "Z", ""),
  _xlpm.n_cons, SUBSTITUTE(SUBSTITUTE(SUBSTITUTE(SUBSTITUTE(SUBSTITUTE(_xlfn.SINGLE(_xlpm.name_clean), "A", ""), "E", ""), "I", ""), "O", ""), "U", ""),
  _xlpm.n_vowels, SUBSTITUTE(SUBSTITUTE(SUBSTITUTE(SUBSTITUTE(SUBSTITUTE(SUBSTITUTE(SUBSTITUTE(SUBSTITUTE(SUBSTITUTE(SUBSTITUTE(SUBSTITUTE(SUBSTITUTE(SUBSTITUTE(SUBSTITUTE(SUBSTITUTE(SUBSTITUTE(SUBSTITUTE(SUBSTITUTE(SUBSTITUTE(SUBSTITUTE(SUBSTITUTE(_xlfn.SINGLE(_xlpm.name_clean), "B", ""), "C", ""), "D", ""), "F", ""), "G", ""), "H", ""), "J", ""), "K", ""), "L", ""), "M", ""), "N", ""), "P", ""), "Q", ""), "R", ""), "S", ""), "T", ""), "V", ""), "W", ""), "X", ""), "Y", ""), "Z", ""),
  _xlpm.surname_code, IF(LEN(_xlfn.SINGLE(_xlpm.s_cons)) &gt;= 3, LEFT(_xlfn.SINGLE(_xlpm.s_cons), 3), IF(LEN(_xlfn.SINGLE(_xlpm.s_cons)) = 2,_xlfn.SINGLE( _xlpm.s_cons) &amp; LEFT(_xlfn.SINGLE(_xlpm.s_vowels), 1), IF(LEN(_xlfn.SINGLE(_xlpm.s_cons)) = 1, LEFT(_xlfn.SINGLE(_xlpm.s_cons) &amp;_xlfn.SINGLE( _xlpm.s_vowels) &amp; "XX", 3), LEFT(_xlfn.SINGLE(_xlpm.s_vowels) &amp; "XX", 3)))),
  _xlpm.name_code, IF(LEN(_xlfn.SINGLE(_xlpm.n_cons)) &gt;= 4,
    MID(_xlfn.SINGLE(_xlpm.n_cons),1,1) &amp; MID(_xlfn.SINGLE(_xlpm.n_cons),3,1) &amp; MID(_xlfn.SINGLE(_xlpm.n_cons),4,1),
    IF(LEN(_xlfn.SINGLE(_xlpm.n_cons)) = 3,
      LEFT(_xlfn.SINGLE(_xlpm.n_cons), 3),
      LEFT(_xlfn.SINGLE(_xlpm.n_cons) &amp;_xlfn.SINGLE( _xlpm.n_vowels) &amp; "XXX", 3)
    )
  ),
  _xlpm.expected,_xlfn.SINGLE( _xlpm.surname_code) &amp;_xlfn.SINGLE( _xlpm.name_code),
  _xlpm.matches, (IF(MID(_xlfn.SINGLE(_xlpm.expected),1,1)=MID(_xlfn.SINGLE(_xlpm.cf_code),1,1),1,0))+(IF(MID(_xlfn.SINGLE(_xlpm.expected),2,1)=MID(_xlfn.SINGLE(_xlpm.cf_code),2,1),1,0))+(IF(MID(_xlfn.SINGLE(_xlpm.expected),3,1)=MID(_xlfn.SINGLE(_xlpm.cf_code),3,1),1,0))+(IF(MID(_xlfn.SINGLE(_xlpm.expected),4,1)=MID(_xlfn.SINGLE(_xlpm.cf_code),4,1),1,0))+(IF(MID(_xlfn.SINGLE(_xlpm.expected),5,1)=MID(_xlfn.SINGLE(_xlpm.cf_code),5,1),1,0))+(IF(MID(_xlfn.SINGLE(_xlpm.expected),6,1)=MID(_xlfn.SINGLE(_xlpm.cf_code),6,1),1,0)),
  IF(_xlfn.SINGLE(_xlpm.matches)=6, "✅ PASS - 50/50 points", "❌ FAIL - " &amp; ROUND(_xlfn.SINGLE(_xlpm.matches)/6*50,0) &amp; "/50 points (" &amp;_xlfn.SINGLE( _xlpm.matches) &amp; "/6) - Expected: " &amp;_xlfn.SINGLE( _xlpm.expected) &amp; ", Found: " &amp;_xlfn.SINGLE( _xlpm.cf_code))
)</f>
        <v>❌ FAIL - 42/50 points (5/6) - Expected: SPSSRA, Found: SPSRRA</v>
      </c>
      <c r="M5" s="5" t="s">
        <v>39</v>
      </c>
      <c r="N5" s="5" t="s">
        <v>25</v>
      </c>
    </row>
    <row r="6" spans="1:15" ht="13">
      <c r="A6" s="7" t="s">
        <v>16</v>
      </c>
      <c r="B6" s="7" t="s">
        <v>22</v>
      </c>
      <c r="C6" s="7" t="s">
        <v>27</v>
      </c>
      <c r="D6" s="9">
        <v>35568</v>
      </c>
      <c r="E6" s="7" t="s">
        <v>32</v>
      </c>
      <c r="F6" s="7"/>
      <c r="G6" s="5" t="str">
        <f t="shared" si="2"/>
        <v>✅ EXCELLENT: 90% - Very likely valid, minor verification recommended</v>
      </c>
      <c r="H6" s="6"/>
      <c r="I6" s="5" t="str">
        <f t="shared" si="0"/>
        <v>✅ PASS - Length OK (16 chars)</v>
      </c>
      <c r="J6" s="5" t="str">
        <f>_xlfn.LET(
  _xlpm.cf, UPPER(E6),
  _xlpm.data, D6,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✅ PASS - Date matches (97E18)</v>
      </c>
      <c r="K6" s="5" t="str">
        <f t="shared" si="3"/>
        <v>✅ PASS - Gender: Male (day: 18)</v>
      </c>
      <c r="L6" s="5" t="str">
        <f t="shared" si="4"/>
        <v>✅ PASS - 50/50 points</v>
      </c>
      <c r="M6" s="5" t="s">
        <v>40</v>
      </c>
      <c r="N6" s="5" t="s">
        <v>43</v>
      </c>
    </row>
    <row r="7" spans="1:15" ht="13">
      <c r="A7" s="7" t="s">
        <v>21</v>
      </c>
      <c r="B7" s="7" t="s">
        <v>33</v>
      </c>
      <c r="C7" s="7" t="s">
        <v>30</v>
      </c>
      <c r="D7" s="9">
        <v>35121</v>
      </c>
      <c r="E7" s="7" t="s">
        <v>34</v>
      </c>
      <c r="F7" s="7"/>
      <c r="G7" s="5" t="str">
        <f t="shared" si="2"/>
        <v>⚠️ SCORE: 76.4% - Not a perfect match, check for any typo</v>
      </c>
      <c r="H7" s="6"/>
      <c r="I7" s="5" t="str">
        <f t="shared" si="0"/>
        <v>✅ PASS - Length OK (16 chars)</v>
      </c>
      <c r="J7" s="5" t="str">
        <f>_xlfn.LET(
  _xlpm.cf, UPPER(E7),
  _xlpm.data, D7,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✅ PASS - Date matches (96B66)</v>
      </c>
      <c r="K7" s="5" t="str">
        <f t="shared" si="3"/>
        <v>✅ PASS - Gender: Female (day: 26)</v>
      </c>
      <c r="L7" s="5" t="str">
        <f t="shared" si="4"/>
        <v>❌ FAIL - 33/50 points (4/6) - Expected: CLMCHR, Found: CMBCHR</v>
      </c>
      <c r="M7" s="5" t="s">
        <v>41</v>
      </c>
      <c r="N7" s="5" t="s">
        <v>44</v>
      </c>
    </row>
    <row r="8" spans="1:15" ht="13">
      <c r="A8" s="7" t="s">
        <v>17</v>
      </c>
      <c r="B8" s="7" t="s">
        <v>20</v>
      </c>
      <c r="C8" s="7" t="s">
        <v>27</v>
      </c>
      <c r="D8" s="9">
        <v>36386</v>
      </c>
      <c r="E8" s="7" t="s">
        <v>35</v>
      </c>
      <c r="F8" s="7"/>
      <c r="G8" s="5" t="str">
        <f t="shared" si="2"/>
        <v>✅ EXCELLENT: 90% - Very likely valid, minor verification recommended</v>
      </c>
      <c r="H8" s="6"/>
      <c r="I8" s="5" t="str">
        <f t="shared" si="0"/>
        <v>✅ PASS - Length OK (16 chars)</v>
      </c>
      <c r="J8" s="5" t="str">
        <f>_xlfn.LET(
  _xlpm.cf, UPPER(E8),
  _xlpm.data, D8,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✅ PASS - Date matches (99M14)</v>
      </c>
      <c r="K8" s="5" t="str">
        <f t="shared" si="3"/>
        <v>✅ PASS - Gender: Male (day: 14)</v>
      </c>
      <c r="L8" s="5" t="str">
        <f t="shared" si="4"/>
        <v>✅ PASS - 50/50 points</v>
      </c>
      <c r="M8" s="5" t="s">
        <v>42</v>
      </c>
      <c r="N8" s="5" t="s">
        <v>45</v>
      </c>
    </row>
    <row r="9" spans="1:15" ht="13">
      <c r="A9" s="7"/>
      <c r="B9" s="7"/>
      <c r="C9" s="7"/>
      <c r="D9" s="9"/>
      <c r="E9" s="7"/>
      <c r="F9" s="7"/>
      <c r="G9" s="5" t="str">
        <f t="shared" si="2"/>
        <v>❌ FAILED: 6.4% - This person has probably not the right Codice Fiscale</v>
      </c>
      <c r="H9" s="6"/>
      <c r="I9" s="5" t="str">
        <f t="shared" si="0"/>
        <v>❌ FAIL - Wrong length (0/16 chars)</v>
      </c>
      <c r="J9" s="5" t="e">
        <f>_xlfn.LET(
  _xlpm.cf, UPPER(E9),
  _xlpm.data, D9,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9" s="5" t="e">
        <f t="shared" si="3"/>
        <v>#VALUE!</v>
      </c>
      <c r="L9" s="5" t="str">
        <f t="shared" si="4"/>
        <v xml:space="preserve">❌ FAIL - 8/50 points (1/6) - Expected: XXXXX, Found: </v>
      </c>
      <c r="M9" s="5" t="s">
        <v>24</v>
      </c>
      <c r="N9" s="5" t="s">
        <v>28</v>
      </c>
    </row>
    <row r="10" spans="1:15" ht="13">
      <c r="A10" s="7"/>
      <c r="B10" s="7"/>
      <c r="C10" s="7"/>
      <c r="D10" s="9"/>
      <c r="E10" s="7"/>
      <c r="F10" s="7"/>
      <c r="G10" s="5" t="str">
        <f t="shared" si="2"/>
        <v>❌ FAILED: 6.4% - This person has probably not the right Codice Fiscale</v>
      </c>
      <c r="H10" s="6"/>
      <c r="I10" s="5" t="str">
        <f t="shared" si="0"/>
        <v>❌ FAIL - Wrong length (0/16 chars)</v>
      </c>
      <c r="J10" s="5" t="e">
        <f>_xlfn.LET(
  _xlpm.cf, UPPER(E10),
  _xlpm.data, D10,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0" s="5" t="e">
        <f t="shared" si="3"/>
        <v>#VALUE!</v>
      </c>
      <c r="L10" s="5" t="str">
        <f t="shared" si="4"/>
        <v xml:space="preserve">❌ FAIL - 8/50 points (1/6) - Expected: XXXXX, Found: </v>
      </c>
      <c r="M10" s="5" t="s">
        <v>24</v>
      </c>
      <c r="N10" s="5" t="s">
        <v>28</v>
      </c>
    </row>
    <row r="11" spans="1:15" ht="13">
      <c r="A11" s="7"/>
      <c r="B11" s="7"/>
      <c r="C11" s="7"/>
      <c r="D11" s="9"/>
      <c r="E11" s="7"/>
      <c r="F11" s="7"/>
      <c r="G11" s="5" t="str">
        <f t="shared" si="2"/>
        <v>❌ FAILED: 6.4% - This person has probably not the right Codice Fiscale</v>
      </c>
      <c r="H11" s="6"/>
      <c r="I11" s="5" t="str">
        <f t="shared" si="0"/>
        <v>❌ FAIL - Wrong length (0/16 chars)</v>
      </c>
      <c r="J11" s="5" t="e">
        <f>_xlfn.LET(
  _xlpm.cf, UPPER(E11),
  _xlpm.data, D11,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1" s="5" t="e">
        <f t="shared" si="3"/>
        <v>#VALUE!</v>
      </c>
      <c r="L11" s="5" t="str">
        <f t="shared" si="4"/>
        <v xml:space="preserve">❌ FAIL - 8/50 points (1/6) - Expected: XXXXX, Found: </v>
      </c>
      <c r="M11" s="5" t="s">
        <v>24</v>
      </c>
      <c r="N11" s="5" t="s">
        <v>28</v>
      </c>
    </row>
    <row r="12" spans="1:15" ht="13">
      <c r="A12" s="7"/>
      <c r="B12" s="7"/>
      <c r="C12" s="7"/>
      <c r="D12" s="9"/>
      <c r="E12" s="7"/>
      <c r="F12" s="7"/>
      <c r="G12" s="5" t="str">
        <f t="shared" si="2"/>
        <v>❌ FAILED: 6.4% - This person has probably not the right Codice Fiscale</v>
      </c>
      <c r="H12" s="6"/>
      <c r="I12" s="5" t="str">
        <f t="shared" si="0"/>
        <v>❌ FAIL - Wrong length (0/16 chars)</v>
      </c>
      <c r="J12" s="5" t="e">
        <f>_xlfn.LET(
  _xlpm.cf, UPPER(E12),
  _xlpm.data, D12,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2" s="5" t="e">
        <f t="shared" si="3"/>
        <v>#VALUE!</v>
      </c>
      <c r="L12" s="5" t="str">
        <f t="shared" si="4"/>
        <v xml:space="preserve">❌ FAIL - 8/50 points (1/6) - Expected: XXXXX, Found: </v>
      </c>
      <c r="M12" s="5" t="s">
        <v>24</v>
      </c>
      <c r="N12" s="5" t="s">
        <v>28</v>
      </c>
    </row>
    <row r="13" spans="1:15" ht="13">
      <c r="A13" s="7"/>
      <c r="B13" s="7"/>
      <c r="C13" s="7"/>
      <c r="D13" s="9"/>
      <c r="E13" s="7"/>
      <c r="F13" s="7"/>
      <c r="G13" s="5" t="str">
        <f t="shared" si="2"/>
        <v>❌ FAILED: 6.4% - This person has probably not the right Codice Fiscale</v>
      </c>
      <c r="H13" s="6"/>
      <c r="I13" s="5" t="str">
        <f t="shared" si="0"/>
        <v>❌ FAIL - Wrong length (0/16 chars)</v>
      </c>
      <c r="J13" s="5" t="e">
        <f>_xlfn.LET(
  _xlpm.cf, UPPER(E13),
  _xlpm.data, D13,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3" s="5" t="e">
        <f t="shared" si="3"/>
        <v>#VALUE!</v>
      </c>
      <c r="L13" s="5" t="str">
        <f t="shared" si="4"/>
        <v xml:space="preserve">❌ FAIL - 8/50 points (1/6) - Expected: XXXXX, Found: </v>
      </c>
      <c r="M13" s="5" t="s">
        <v>24</v>
      </c>
      <c r="N13" s="5" t="s">
        <v>28</v>
      </c>
    </row>
    <row r="14" spans="1:15" ht="13">
      <c r="A14" s="7"/>
      <c r="B14" s="7"/>
      <c r="C14" s="7"/>
      <c r="D14" s="9"/>
      <c r="E14" s="7"/>
      <c r="F14" s="7"/>
      <c r="G14" s="5" t="str">
        <f t="shared" si="2"/>
        <v>❌ FAILED: 6.4% - This person has probably not the right Codice Fiscale</v>
      </c>
      <c r="H14" s="6"/>
      <c r="I14" s="5" t="str">
        <f t="shared" si="0"/>
        <v>❌ FAIL - Wrong length (0/16 chars)</v>
      </c>
      <c r="J14" s="5" t="e">
        <f>_xlfn.LET(
  _xlpm.cf, UPPER(E14),
  _xlpm.data, D14,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4" s="5" t="e">
        <f t="shared" si="3"/>
        <v>#VALUE!</v>
      </c>
      <c r="L14" s="5" t="str">
        <f t="shared" si="4"/>
        <v xml:space="preserve">❌ FAIL - 8/50 points (1/6) - Expected: XXXXX, Found: </v>
      </c>
      <c r="M14" s="5" t="s">
        <v>24</v>
      </c>
      <c r="N14" s="5" t="s">
        <v>28</v>
      </c>
    </row>
    <row r="15" spans="1:15" ht="13">
      <c r="A15" s="7"/>
      <c r="B15" s="7"/>
      <c r="C15" s="7"/>
      <c r="D15" s="9"/>
      <c r="E15" s="7"/>
      <c r="F15" s="7"/>
      <c r="G15" s="5" t="str">
        <f t="shared" si="2"/>
        <v>❌ FAILED: 6.4% - This person has probably not the right Codice Fiscale</v>
      </c>
      <c r="H15" s="6"/>
      <c r="I15" s="5" t="str">
        <f t="shared" si="0"/>
        <v>❌ FAIL - Wrong length (0/16 chars)</v>
      </c>
      <c r="J15" s="5" t="e">
        <f>_xlfn.LET(
  _xlpm.cf, UPPER(E15),
  _xlpm.data, D15,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5" s="5" t="e">
        <f t="shared" si="3"/>
        <v>#VALUE!</v>
      </c>
      <c r="L15" s="5" t="str">
        <f t="shared" si="4"/>
        <v xml:space="preserve">❌ FAIL - 8/50 points (1/6) - Expected: XXXXX, Found: </v>
      </c>
      <c r="M15" s="5" t="s">
        <v>24</v>
      </c>
      <c r="N15" s="5" t="s">
        <v>28</v>
      </c>
    </row>
    <row r="16" spans="1:15" ht="13">
      <c r="A16" s="7"/>
      <c r="B16" s="7"/>
      <c r="C16" s="7"/>
      <c r="D16" s="9"/>
      <c r="E16" s="7"/>
      <c r="F16" s="7"/>
      <c r="G16" s="5" t="str">
        <f t="shared" si="2"/>
        <v>❌ FAILED: 6.4% - This person has probably not the right Codice Fiscale</v>
      </c>
      <c r="H16" s="6"/>
      <c r="I16" s="5" t="str">
        <f t="shared" si="0"/>
        <v>❌ FAIL - Wrong length (0/16 chars)</v>
      </c>
      <c r="J16" s="5" t="e">
        <f>_xlfn.LET(
  _xlpm.cf, UPPER(E16),
  _xlpm.data, D16,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6" s="5" t="e">
        <f t="shared" si="3"/>
        <v>#VALUE!</v>
      </c>
      <c r="L16" s="5" t="str">
        <f t="shared" si="4"/>
        <v xml:space="preserve">❌ FAIL - 8/50 points (1/6) - Expected: XXXXX, Found: </v>
      </c>
      <c r="M16" s="5" t="s">
        <v>24</v>
      </c>
      <c r="N16" s="5" t="s">
        <v>28</v>
      </c>
    </row>
    <row r="17" spans="1:14" ht="13">
      <c r="A17" s="7"/>
      <c r="B17" s="7"/>
      <c r="C17" s="7"/>
      <c r="D17" s="9"/>
      <c r="E17" s="7"/>
      <c r="F17" s="7"/>
      <c r="G17" s="5" t="str">
        <f t="shared" si="2"/>
        <v>❌ FAILED: 6.4% - This person has probably not the right Codice Fiscale</v>
      </c>
      <c r="H17" s="6"/>
      <c r="I17" s="5" t="str">
        <f t="shared" si="0"/>
        <v>❌ FAIL - Wrong length (0/16 chars)</v>
      </c>
      <c r="J17" s="5" t="e">
        <f>_xlfn.LET(
  _xlpm.cf, UPPER(E17),
  _xlpm.data, D17,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7" s="5" t="e">
        <f t="shared" si="3"/>
        <v>#VALUE!</v>
      </c>
      <c r="L17" s="5" t="str">
        <f t="shared" si="4"/>
        <v xml:space="preserve">❌ FAIL - 8/50 points (1/6) - Expected: XXXXX, Found: </v>
      </c>
      <c r="M17" s="5" t="s">
        <v>24</v>
      </c>
      <c r="N17" s="5" t="s">
        <v>28</v>
      </c>
    </row>
    <row r="18" spans="1:14" ht="13">
      <c r="A18" s="7"/>
      <c r="B18" s="7"/>
      <c r="C18" s="7"/>
      <c r="D18" s="9"/>
      <c r="E18" s="7"/>
      <c r="F18" s="7"/>
      <c r="G18" s="5" t="str">
        <f t="shared" si="2"/>
        <v>❌ FAILED: 6.4% - This person has probably not the right Codice Fiscale</v>
      </c>
      <c r="H18" s="6"/>
      <c r="I18" s="5" t="str">
        <f t="shared" si="0"/>
        <v>❌ FAIL - Wrong length (0/16 chars)</v>
      </c>
      <c r="J18" s="5" t="e">
        <f>_xlfn.LET(
  _xlpm.cf, UPPER(E18),
  _xlpm.data, D18,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8" s="5" t="e">
        <f t="shared" si="3"/>
        <v>#VALUE!</v>
      </c>
      <c r="L18" s="5" t="str">
        <f t="shared" si="4"/>
        <v xml:space="preserve">❌ FAIL - 8/50 points (1/6) - Expected: XXXXX, Found: </v>
      </c>
      <c r="M18" s="5" t="s">
        <v>24</v>
      </c>
      <c r="N18" s="5" t="s">
        <v>28</v>
      </c>
    </row>
    <row r="19" spans="1:14" ht="13">
      <c r="A19" s="7"/>
      <c r="B19" s="7"/>
      <c r="C19" s="7"/>
      <c r="D19" s="9"/>
      <c r="E19" s="7"/>
      <c r="F19" s="7"/>
      <c r="G19" s="5" t="str">
        <f t="shared" si="2"/>
        <v>❌ FAILED: 6.4% - This person has probably not the right Codice Fiscale</v>
      </c>
      <c r="H19" s="6"/>
      <c r="I19" s="5" t="str">
        <f t="shared" si="0"/>
        <v>❌ FAIL - Wrong length (0/16 chars)</v>
      </c>
      <c r="J19" s="5" t="e">
        <f>_xlfn.LET(
  _xlpm.cf, UPPER(E19),
  _xlpm.data, D19,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9" s="5" t="e">
        <f t="shared" si="3"/>
        <v>#VALUE!</v>
      </c>
      <c r="L19" s="5" t="str">
        <f t="shared" si="4"/>
        <v xml:space="preserve">❌ FAIL - 8/50 points (1/6) - Expected: XXXXX, Found: </v>
      </c>
      <c r="M19" s="5" t="s">
        <v>24</v>
      </c>
      <c r="N19" s="5" t="s">
        <v>28</v>
      </c>
    </row>
    <row r="20" spans="1:14" ht="13">
      <c r="A20" s="7"/>
      <c r="B20" s="7"/>
      <c r="C20" s="7"/>
      <c r="D20" s="9"/>
      <c r="E20" s="7"/>
      <c r="F20" s="7"/>
      <c r="G20" s="5" t="str">
        <f t="shared" si="2"/>
        <v>❌ FAILED: 6.4% - This person has probably not the right Codice Fiscale</v>
      </c>
      <c r="H20" s="6"/>
      <c r="I20" s="5" t="str">
        <f t="shared" si="0"/>
        <v>❌ FAIL - Wrong length (0/16 chars)</v>
      </c>
      <c r="J20" s="5" t="e">
        <f>_xlfn.LET(
  _xlpm.cf, UPPER(E20),
  _xlpm.data, D20,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0" s="5" t="e">
        <f t="shared" si="3"/>
        <v>#VALUE!</v>
      </c>
      <c r="L20" s="5" t="str">
        <f t="shared" si="4"/>
        <v xml:space="preserve">❌ FAIL - 8/50 points (1/6) - Expected: XXXXX, Found: </v>
      </c>
      <c r="M20" s="5" t="s">
        <v>24</v>
      </c>
      <c r="N20" s="5" t="s">
        <v>28</v>
      </c>
    </row>
    <row r="21" spans="1:14" ht="13">
      <c r="A21" s="7"/>
      <c r="B21" s="7"/>
      <c r="C21" s="7"/>
      <c r="D21" s="9"/>
      <c r="E21" s="7"/>
      <c r="F21" s="7"/>
      <c r="G21" s="5" t="str">
        <f t="shared" si="2"/>
        <v>❌ FAILED: 6.4% - This person has probably not the right Codice Fiscale</v>
      </c>
      <c r="H21" s="6"/>
      <c r="I21" s="5" t="str">
        <f t="shared" si="0"/>
        <v>❌ FAIL - Wrong length (0/16 chars)</v>
      </c>
      <c r="J21" s="5" t="e">
        <f>_xlfn.LET(
  _xlpm.cf, UPPER(E21),
  _xlpm.data, D21,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1" s="5" t="e">
        <f t="shared" si="3"/>
        <v>#VALUE!</v>
      </c>
      <c r="L21" s="5" t="str">
        <f t="shared" si="4"/>
        <v xml:space="preserve">❌ FAIL - 8/50 points (1/6) - Expected: XXXXX, Found: </v>
      </c>
      <c r="M21" s="5" t="s">
        <v>24</v>
      </c>
      <c r="N21" s="5" t="s">
        <v>28</v>
      </c>
    </row>
    <row r="22" spans="1:14" ht="13">
      <c r="A22" s="7"/>
      <c r="B22" s="7"/>
      <c r="C22" s="7"/>
      <c r="D22" s="9"/>
      <c r="E22" s="7"/>
      <c r="F22" s="7"/>
      <c r="G22" s="5" t="str">
        <f t="shared" si="2"/>
        <v>❌ FAILED: 6.4% - This person has probably not the right Codice Fiscale</v>
      </c>
      <c r="H22" s="6"/>
      <c r="I22" s="5" t="str">
        <f t="shared" si="0"/>
        <v>❌ FAIL - Wrong length (0/16 chars)</v>
      </c>
      <c r="J22" s="5" t="e">
        <f>_xlfn.LET(
  _xlpm.cf, UPPER(E22),
  _xlpm.data, D22,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2" s="5" t="e">
        <f t="shared" si="3"/>
        <v>#VALUE!</v>
      </c>
      <c r="L22" s="5" t="str">
        <f t="shared" si="4"/>
        <v xml:space="preserve">❌ FAIL - 8/50 points (1/6) - Expected: XXXXX, Found: </v>
      </c>
      <c r="M22" s="5" t="s">
        <v>24</v>
      </c>
      <c r="N22" s="5" t="s">
        <v>28</v>
      </c>
    </row>
    <row r="23" spans="1:14" ht="13">
      <c r="A23" s="7"/>
      <c r="B23" s="7"/>
      <c r="C23" s="7"/>
      <c r="D23" s="9"/>
      <c r="E23" s="7"/>
      <c r="F23" s="7"/>
      <c r="G23" s="5" t="str">
        <f t="shared" si="2"/>
        <v>❌ FAILED: 6.4% - This person has probably not the right Codice Fiscale</v>
      </c>
      <c r="H23" s="6"/>
      <c r="I23" s="5" t="str">
        <f t="shared" si="0"/>
        <v>❌ FAIL - Wrong length (0/16 chars)</v>
      </c>
      <c r="J23" s="5" t="e">
        <f>_xlfn.LET(
  _xlpm.cf, UPPER(E23),
  _xlpm.data, D23,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3" s="5" t="e">
        <f t="shared" si="3"/>
        <v>#VALUE!</v>
      </c>
      <c r="L23" s="5" t="str">
        <f t="shared" si="4"/>
        <v xml:space="preserve">❌ FAIL - 8/50 points (1/6) - Expected: XXXXX, Found: </v>
      </c>
      <c r="M23" s="5" t="s">
        <v>24</v>
      </c>
      <c r="N23" s="5" t="s">
        <v>28</v>
      </c>
    </row>
    <row r="24" spans="1:14" ht="13">
      <c r="A24" s="5"/>
      <c r="B24" s="5"/>
      <c r="C24" s="5"/>
      <c r="D24" s="5"/>
      <c r="E24" s="5"/>
      <c r="G24" s="5" t="str">
        <f t="shared" si="2"/>
        <v>❌ FAILED: 6.4% - This person has probably not the right Codice Fiscale</v>
      </c>
      <c r="H24" s="6"/>
      <c r="I24" s="5" t="str">
        <f t="shared" si="0"/>
        <v>❌ FAIL - Wrong length (0/16 chars)</v>
      </c>
      <c r="J24" s="5" t="e">
        <f>_xlfn.LET(
  _xlpm.cf, UPPER(E24),
  _xlpm.data, D24,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4" s="5" t="e">
        <f t="shared" si="3"/>
        <v>#VALUE!</v>
      </c>
      <c r="L24" s="5" t="str">
        <f t="shared" si="4"/>
        <v xml:space="preserve">❌ FAIL - 8/50 points (1/6) - Expected: XXXXX, Found: </v>
      </c>
      <c r="M24" s="5" t="s">
        <v>24</v>
      </c>
      <c r="N24" s="5" t="s">
        <v>28</v>
      </c>
    </row>
    <row r="25" spans="1:14" ht="13">
      <c r="A25" s="5"/>
      <c r="B25" s="5"/>
      <c r="C25" s="5"/>
      <c r="D25" s="5"/>
      <c r="E25" s="5"/>
      <c r="G25" s="5" t="str">
        <f t="shared" si="2"/>
        <v>❌ FAILED: 6.4% - This person has probably not the right Codice Fiscale</v>
      </c>
      <c r="H25" s="6"/>
      <c r="I25" s="5" t="str">
        <f t="shared" si="0"/>
        <v>❌ FAIL - Wrong length (0/16 chars)</v>
      </c>
      <c r="J25" s="5" t="e">
        <f>_xlfn.LET(
  _xlpm.cf, UPPER(E25),
  _xlpm.data, D25,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5" s="5" t="e">
        <f t="shared" si="3"/>
        <v>#VALUE!</v>
      </c>
      <c r="L25" s="5" t="str">
        <f t="shared" si="4"/>
        <v xml:space="preserve">❌ FAIL - 8/50 points (1/6) - Expected: XXXXX, Found: </v>
      </c>
      <c r="M25" s="5" t="s">
        <v>24</v>
      </c>
      <c r="N25" s="5" t="s">
        <v>28</v>
      </c>
    </row>
    <row r="26" spans="1:14" ht="13">
      <c r="A26" s="5"/>
      <c r="B26" s="5"/>
      <c r="C26" s="5"/>
      <c r="D26" s="5"/>
      <c r="E26" s="5"/>
      <c r="G26" s="5" t="str">
        <f t="shared" si="2"/>
        <v>❌ FAILED: 6.4% - This person has probably not the right Codice Fiscale</v>
      </c>
      <c r="H26" s="6"/>
      <c r="I26" s="5" t="str">
        <f t="shared" si="0"/>
        <v>❌ FAIL - Wrong length (0/16 chars)</v>
      </c>
      <c r="J26" s="5" t="e">
        <f>_xlfn.LET(
  _xlpm.cf, UPPER(E26),
  _xlpm.data, D26,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6" s="5" t="e">
        <f t="shared" si="3"/>
        <v>#VALUE!</v>
      </c>
      <c r="L26" s="5" t="str">
        <f t="shared" si="4"/>
        <v xml:space="preserve">❌ FAIL - 8/50 points (1/6) - Expected: XXXXX, Found: </v>
      </c>
      <c r="M26" s="5" t="s">
        <v>24</v>
      </c>
      <c r="N26" s="5" t="s">
        <v>28</v>
      </c>
    </row>
    <row r="27" spans="1:14" ht="13">
      <c r="A27" s="5"/>
      <c r="B27" s="5"/>
      <c r="C27" s="5"/>
      <c r="D27" s="5"/>
      <c r="E27" s="5"/>
      <c r="G27" s="5" t="str">
        <f t="shared" si="2"/>
        <v>❌ FAILED: 6.4% - This person has probably not the right Codice Fiscale</v>
      </c>
      <c r="H27" s="6"/>
      <c r="I27" s="5" t="str">
        <f t="shared" si="0"/>
        <v>❌ FAIL - Wrong length (0/16 chars)</v>
      </c>
      <c r="J27" s="5" t="e">
        <f>_xlfn.LET(
  _xlpm.cf, UPPER(E27),
  _xlpm.data, D27,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7" s="5" t="e">
        <f t="shared" si="3"/>
        <v>#VALUE!</v>
      </c>
      <c r="L27" s="5" t="str">
        <f t="shared" si="4"/>
        <v xml:space="preserve">❌ FAIL - 8/50 points (1/6) - Expected: XXXXX, Found: </v>
      </c>
      <c r="M27" s="5" t="s">
        <v>24</v>
      </c>
      <c r="N27" s="5" t="s">
        <v>28</v>
      </c>
    </row>
    <row r="28" spans="1:14" ht="13">
      <c r="A28" s="5"/>
      <c r="B28" s="5"/>
      <c r="C28" s="5"/>
      <c r="D28" s="5"/>
      <c r="E28" s="5"/>
      <c r="G28" s="5" t="str">
        <f t="shared" si="2"/>
        <v>❌ FAILED: 6.4% - This person has probably not the right Codice Fiscale</v>
      </c>
      <c r="H28" s="6"/>
      <c r="I28" s="5" t="str">
        <f t="shared" si="0"/>
        <v>❌ FAIL - Wrong length (0/16 chars)</v>
      </c>
      <c r="J28" s="5" t="e">
        <f>_xlfn.LET(
  _xlpm.cf, UPPER(E28),
  _xlpm.data, D28,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8" s="5" t="e">
        <f t="shared" si="3"/>
        <v>#VALUE!</v>
      </c>
      <c r="L28" s="5" t="str">
        <f t="shared" si="4"/>
        <v xml:space="preserve">❌ FAIL - 8/50 points (1/6) - Expected: XXXXX, Found: </v>
      </c>
      <c r="M28" s="5" t="s">
        <v>24</v>
      </c>
      <c r="N28" s="5" t="s">
        <v>28</v>
      </c>
    </row>
    <row r="29" spans="1:14" ht="13">
      <c r="A29" s="5"/>
      <c r="B29" s="5"/>
      <c r="C29" s="5"/>
      <c r="D29" s="5"/>
      <c r="E29" s="5"/>
      <c r="G29" s="5" t="str">
        <f t="shared" si="2"/>
        <v>❌ FAILED: 6.4% - This person has probably not the right Codice Fiscale</v>
      </c>
      <c r="H29" s="6"/>
      <c r="I29" s="5" t="str">
        <f t="shared" si="0"/>
        <v>❌ FAIL - Wrong length (0/16 chars)</v>
      </c>
      <c r="J29" s="5" t="e">
        <f>_xlfn.LET(
  _xlpm.cf, UPPER(E29),
  _xlpm.data, D29,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9" s="5" t="e">
        <f t="shared" si="3"/>
        <v>#VALUE!</v>
      </c>
      <c r="L29" s="5" t="str">
        <f t="shared" si="4"/>
        <v xml:space="preserve">❌ FAIL - 8/50 points (1/6) - Expected: XXXXX, Found: </v>
      </c>
      <c r="M29" s="5" t="s">
        <v>24</v>
      </c>
      <c r="N29" s="5" t="s">
        <v>28</v>
      </c>
    </row>
    <row r="30" spans="1:14" ht="13">
      <c r="A30" s="5"/>
      <c r="B30" s="5"/>
      <c r="C30" s="5"/>
      <c r="D30" s="5"/>
      <c r="E30" s="5"/>
      <c r="G30" s="5" t="str">
        <f t="shared" si="2"/>
        <v>❌ FAILED: 6.4% - This person has probably not the right Codice Fiscale</v>
      </c>
      <c r="H30" s="6"/>
      <c r="I30" s="5" t="str">
        <f t="shared" si="0"/>
        <v>❌ FAIL - Wrong length (0/16 chars)</v>
      </c>
      <c r="J30" s="5" t="e">
        <f>_xlfn.LET(
  _xlpm.cf, UPPER(E30),
  _xlpm.data, D30,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0" s="5" t="e">
        <f t="shared" si="3"/>
        <v>#VALUE!</v>
      </c>
      <c r="L30" s="5" t="str">
        <f t="shared" si="4"/>
        <v xml:space="preserve">❌ FAIL - 8/50 points (1/6) - Expected: XXXXX, Found: </v>
      </c>
      <c r="M30" s="5" t="s">
        <v>24</v>
      </c>
      <c r="N30" s="5" t="s">
        <v>28</v>
      </c>
    </row>
    <row r="31" spans="1:14" ht="13">
      <c r="A31" s="5"/>
      <c r="B31" s="5"/>
      <c r="C31" s="5"/>
      <c r="D31" s="5"/>
      <c r="E31" s="5"/>
      <c r="G31" s="5" t="str">
        <f t="shared" si="2"/>
        <v>❌ FAILED: 6.4% - This person has probably not the right Codice Fiscale</v>
      </c>
      <c r="H31" s="6"/>
      <c r="I31" s="5" t="str">
        <f t="shared" si="0"/>
        <v>❌ FAIL - Wrong length (0/16 chars)</v>
      </c>
      <c r="J31" s="5" t="e">
        <f>_xlfn.LET(
  _xlpm.cf, UPPER(E31),
  _xlpm.data, D31,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1" s="5" t="e">
        <f t="shared" si="3"/>
        <v>#VALUE!</v>
      </c>
      <c r="L31" s="5" t="str">
        <f t="shared" si="4"/>
        <v xml:space="preserve">❌ FAIL - 8/50 points (1/6) - Expected: XXXXX, Found: </v>
      </c>
      <c r="M31" s="5" t="s">
        <v>24</v>
      </c>
      <c r="N31" s="5" t="s">
        <v>28</v>
      </c>
    </row>
    <row r="32" spans="1:14" ht="13">
      <c r="A32" s="5"/>
      <c r="B32" s="5"/>
      <c r="C32" s="5"/>
      <c r="D32" s="5"/>
      <c r="E32" s="5"/>
      <c r="G32" s="5" t="str">
        <f t="shared" si="2"/>
        <v>❌ FAILED: 6.4% - This person has probably not the right Codice Fiscale</v>
      </c>
      <c r="H32" s="6"/>
      <c r="I32" s="5" t="str">
        <f t="shared" si="0"/>
        <v>❌ FAIL - Wrong length (0/16 chars)</v>
      </c>
      <c r="J32" s="5" t="e">
        <f>_xlfn.LET(
  _xlpm.cf, UPPER(E32),
  _xlpm.data, D32,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2" s="5" t="e">
        <f t="shared" si="3"/>
        <v>#VALUE!</v>
      </c>
      <c r="L32" s="5" t="str">
        <f t="shared" si="4"/>
        <v xml:space="preserve">❌ FAIL - 8/50 points (1/6) - Expected: XXXXX, Found: </v>
      </c>
      <c r="M32" s="5" t="s">
        <v>24</v>
      </c>
      <c r="N32" s="5" t="s">
        <v>28</v>
      </c>
    </row>
    <row r="33" spans="1:14" ht="13">
      <c r="A33" s="5"/>
      <c r="B33" s="5"/>
      <c r="C33" s="5"/>
      <c r="D33" s="5"/>
      <c r="E33" s="5"/>
      <c r="G33" s="5" t="str">
        <f t="shared" si="2"/>
        <v>❌ FAILED: 6.4% - This person has probably not the right Codice Fiscale</v>
      </c>
      <c r="H33" s="6"/>
      <c r="I33" s="5" t="str">
        <f t="shared" si="0"/>
        <v>❌ FAIL - Wrong length (0/16 chars)</v>
      </c>
      <c r="J33" s="5" t="e">
        <f>_xlfn.LET(
  _xlpm.cf, UPPER(E33),
  _xlpm.data, D33,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3" s="5" t="e">
        <f t="shared" si="3"/>
        <v>#VALUE!</v>
      </c>
      <c r="L33" s="5" t="str">
        <f t="shared" si="4"/>
        <v xml:space="preserve">❌ FAIL - 8/50 points (1/6) - Expected: XXXXX, Found: </v>
      </c>
      <c r="M33" s="5" t="s">
        <v>24</v>
      </c>
      <c r="N33" s="5" t="s">
        <v>28</v>
      </c>
    </row>
    <row r="34" spans="1:14" ht="13">
      <c r="A34" s="5"/>
      <c r="B34" s="5"/>
      <c r="C34" s="5"/>
      <c r="D34" s="5"/>
      <c r="E34" s="5"/>
      <c r="G34" s="5" t="str">
        <f t="shared" si="2"/>
        <v>❌ FAILED: 6.4% - This person has probably not the right Codice Fiscale</v>
      </c>
      <c r="H34" s="6"/>
      <c r="I34" s="5" t="str">
        <f t="shared" si="0"/>
        <v>❌ FAIL - Wrong length (0/16 chars)</v>
      </c>
      <c r="J34" s="5" t="e">
        <f>_xlfn.LET(
  _xlpm.cf, UPPER(E34),
  _xlpm.data, D34,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4" s="5" t="e">
        <f t="shared" si="3"/>
        <v>#VALUE!</v>
      </c>
      <c r="L34" s="5" t="str">
        <f t="shared" si="4"/>
        <v xml:space="preserve">❌ FAIL - 8/50 points (1/6) - Expected: XXXXX, Found: </v>
      </c>
      <c r="M34" s="5" t="s">
        <v>24</v>
      </c>
      <c r="N34" s="5" t="s">
        <v>28</v>
      </c>
    </row>
    <row r="35" spans="1:14" ht="13">
      <c r="A35" s="5"/>
      <c r="B35" s="5"/>
      <c r="C35" s="5"/>
      <c r="D35" s="5"/>
      <c r="E35" s="5"/>
      <c r="G35" s="5" t="str">
        <f t="shared" si="2"/>
        <v>❌ FAILED: 6.4% - This person has probably not the right Codice Fiscale</v>
      </c>
      <c r="H35" s="6"/>
      <c r="I35" s="5" t="str">
        <f t="shared" si="0"/>
        <v>❌ FAIL - Wrong length (0/16 chars)</v>
      </c>
      <c r="J35" s="5" t="e">
        <f>_xlfn.LET(
  _xlpm.cf, UPPER(E35),
  _xlpm.data, D35,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5" s="5" t="e">
        <f t="shared" si="3"/>
        <v>#VALUE!</v>
      </c>
      <c r="L35" s="5" t="str">
        <f t="shared" si="4"/>
        <v xml:space="preserve">❌ FAIL - 8/50 points (1/6) - Expected: XXXXX, Found: </v>
      </c>
      <c r="M35" s="5" t="s">
        <v>24</v>
      </c>
      <c r="N35" s="5" t="s">
        <v>28</v>
      </c>
    </row>
    <row r="36" spans="1:14" ht="13">
      <c r="A36" s="5"/>
      <c r="B36" s="5"/>
      <c r="C36" s="5"/>
      <c r="D36" s="5"/>
      <c r="E36" s="5"/>
      <c r="G36" s="5" t="str">
        <f t="shared" si="2"/>
        <v>❌ FAILED: 6.4% - This person has probably not the right Codice Fiscale</v>
      </c>
      <c r="H36" s="6"/>
      <c r="I36" s="5" t="str">
        <f t="shared" si="0"/>
        <v>❌ FAIL - Wrong length (0/16 chars)</v>
      </c>
      <c r="J36" s="5" t="e">
        <f>_xlfn.LET(
  _xlpm.cf, UPPER(E36),
  _xlpm.data, D36,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6" s="5" t="e">
        <f t="shared" si="3"/>
        <v>#VALUE!</v>
      </c>
      <c r="L36" s="5" t="str">
        <f t="shared" si="4"/>
        <v xml:space="preserve">❌ FAIL - 8/50 points (1/6) - Expected: XXXXX, Found: </v>
      </c>
      <c r="M36" s="5" t="s">
        <v>24</v>
      </c>
      <c r="N36" s="5" t="s">
        <v>28</v>
      </c>
    </row>
    <row r="37" spans="1:14" ht="13">
      <c r="A37" s="5"/>
      <c r="B37" s="5"/>
      <c r="C37" s="5"/>
      <c r="D37" s="5"/>
      <c r="E37" s="5"/>
      <c r="G37" s="5" t="str">
        <f t="shared" si="2"/>
        <v>❌ FAILED: 6.4% - This person has probably not the right Codice Fiscale</v>
      </c>
      <c r="H37" s="6"/>
      <c r="I37" s="5" t="str">
        <f t="shared" si="0"/>
        <v>❌ FAIL - Wrong length (0/16 chars)</v>
      </c>
      <c r="J37" s="5" t="e">
        <f>_xlfn.LET(
  _xlpm.cf, UPPER(E37),
  _xlpm.data, D37,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7" s="5" t="e">
        <f t="shared" si="3"/>
        <v>#VALUE!</v>
      </c>
      <c r="L37" s="5" t="str">
        <f t="shared" si="4"/>
        <v xml:space="preserve">❌ FAIL - 8/50 points (1/6) - Expected: XXXXX, Found: </v>
      </c>
      <c r="M37" s="5" t="s">
        <v>24</v>
      </c>
      <c r="N37" s="5" t="s">
        <v>28</v>
      </c>
    </row>
    <row r="38" spans="1:14" ht="13">
      <c r="A38" s="5"/>
      <c r="B38" s="5"/>
      <c r="C38" s="5"/>
      <c r="D38" s="5"/>
      <c r="E38" s="5"/>
      <c r="G38" s="5" t="str">
        <f t="shared" si="2"/>
        <v>❌ FAILED: 6.4% - This person has probably not the right Codice Fiscale</v>
      </c>
      <c r="H38" s="6"/>
      <c r="I38" s="5" t="str">
        <f t="shared" si="0"/>
        <v>❌ FAIL - Wrong length (0/16 chars)</v>
      </c>
      <c r="J38" s="5" t="e">
        <f>_xlfn.LET(
  _xlpm.cf, UPPER(E38),
  _xlpm.data, D38,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8" s="5" t="e">
        <f t="shared" si="3"/>
        <v>#VALUE!</v>
      </c>
      <c r="L38" s="5" t="str">
        <f t="shared" si="4"/>
        <v xml:space="preserve">❌ FAIL - 8/50 points (1/6) - Expected: XXXXX, Found: </v>
      </c>
      <c r="M38" s="5" t="s">
        <v>24</v>
      </c>
      <c r="N38" s="5" t="s">
        <v>28</v>
      </c>
    </row>
    <row r="39" spans="1:14" ht="13">
      <c r="A39" s="5"/>
      <c r="B39" s="5"/>
      <c r="C39" s="5"/>
      <c r="D39" s="5"/>
      <c r="E39" s="5"/>
      <c r="G39" s="5" t="str">
        <f t="shared" si="2"/>
        <v>❌ FAILED: 6.4% - This person has probably not the right Codice Fiscale</v>
      </c>
      <c r="H39" s="6"/>
      <c r="I39" s="5" t="str">
        <f t="shared" si="0"/>
        <v>❌ FAIL - Wrong length (0/16 chars)</v>
      </c>
      <c r="J39" s="5" t="e">
        <f>_xlfn.LET(
  _xlpm.cf, UPPER(E39),
  _xlpm.data, D39,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9" s="5" t="e">
        <f t="shared" si="3"/>
        <v>#VALUE!</v>
      </c>
      <c r="L39" s="5" t="str">
        <f t="shared" si="4"/>
        <v xml:space="preserve">❌ FAIL - 8/50 points (1/6) - Expected: XXXXX, Found: </v>
      </c>
      <c r="M39" s="5" t="s">
        <v>24</v>
      </c>
      <c r="N39" s="5" t="s">
        <v>28</v>
      </c>
    </row>
    <row r="40" spans="1:14" ht="13">
      <c r="A40" s="5"/>
      <c r="B40" s="5"/>
      <c r="C40" s="5"/>
      <c r="D40" s="5"/>
      <c r="E40" s="5"/>
      <c r="G40" s="5" t="str">
        <f t="shared" si="2"/>
        <v>❌ FAILED: 6.4% - This person has probably not the right Codice Fiscale</v>
      </c>
      <c r="H40" s="6"/>
      <c r="I40" s="5" t="str">
        <f t="shared" si="0"/>
        <v>❌ FAIL - Wrong length (0/16 chars)</v>
      </c>
      <c r="J40" s="5" t="e">
        <f>_xlfn.LET(
  _xlpm.cf, UPPER(E40),
  _xlpm.data, D40,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0" s="5" t="e">
        <f t="shared" si="3"/>
        <v>#VALUE!</v>
      </c>
      <c r="L40" s="5" t="str">
        <f t="shared" si="4"/>
        <v xml:space="preserve">❌ FAIL - 8/50 points (1/6) - Expected: XXXXX, Found: </v>
      </c>
      <c r="M40" s="5" t="s">
        <v>24</v>
      </c>
      <c r="N40" s="5" t="s">
        <v>28</v>
      </c>
    </row>
    <row r="41" spans="1:14" ht="13">
      <c r="A41" s="5"/>
      <c r="B41" s="5"/>
      <c r="C41" s="5"/>
      <c r="D41" s="5"/>
      <c r="E41" s="5"/>
      <c r="G41" s="5" t="str">
        <f t="shared" si="2"/>
        <v>❌ FAILED: 6.4% - This person has probably not the right Codice Fiscale</v>
      </c>
      <c r="H41" s="6"/>
      <c r="I41" s="5" t="str">
        <f t="shared" si="0"/>
        <v>❌ FAIL - Wrong length (0/16 chars)</v>
      </c>
      <c r="J41" s="5" t="e">
        <f>_xlfn.LET(
  _xlpm.cf, UPPER(E41),
  _xlpm.data, D41,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1" s="5" t="e">
        <f t="shared" si="3"/>
        <v>#VALUE!</v>
      </c>
      <c r="L41" s="5" t="str">
        <f t="shared" si="4"/>
        <v xml:space="preserve">❌ FAIL - 8/50 points (1/6) - Expected: XXXXX, Found: </v>
      </c>
      <c r="M41" s="5" t="s">
        <v>24</v>
      </c>
      <c r="N41" s="5" t="s">
        <v>28</v>
      </c>
    </row>
    <row r="42" spans="1:14" ht="13">
      <c r="A42" s="5"/>
      <c r="B42" s="5"/>
      <c r="C42" s="5"/>
      <c r="D42" s="5"/>
      <c r="E42" s="5"/>
      <c r="G42" s="5" t="str">
        <f t="shared" si="2"/>
        <v>❌ FAILED: 6.4% - This person has probably not the right Codice Fiscale</v>
      </c>
      <c r="H42" s="6"/>
      <c r="I42" s="5" t="str">
        <f t="shared" si="0"/>
        <v>❌ FAIL - Wrong length (0/16 chars)</v>
      </c>
      <c r="J42" s="5" t="e">
        <f>_xlfn.LET(
  _xlpm.cf, UPPER(E42),
  _xlpm.data, D42,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2" s="5" t="e">
        <f t="shared" si="3"/>
        <v>#VALUE!</v>
      </c>
      <c r="L42" s="5" t="str">
        <f t="shared" si="4"/>
        <v xml:space="preserve">❌ FAIL - 8/50 points (1/6) - Expected: XXXXX, Found: </v>
      </c>
      <c r="M42" s="5" t="s">
        <v>24</v>
      </c>
      <c r="N42" s="5" t="s">
        <v>28</v>
      </c>
    </row>
    <row r="43" spans="1:14" ht="13">
      <c r="A43" s="5"/>
      <c r="B43" s="5"/>
      <c r="C43" s="5"/>
      <c r="D43" s="5"/>
      <c r="E43" s="5"/>
      <c r="G43" s="5" t="str">
        <f t="shared" si="2"/>
        <v>❌ FAILED: 6.4% - This person has probably not the right Codice Fiscale</v>
      </c>
      <c r="H43" s="6"/>
      <c r="I43" s="5" t="str">
        <f t="shared" si="0"/>
        <v>❌ FAIL - Wrong length (0/16 chars)</v>
      </c>
      <c r="J43" s="5" t="e">
        <f>_xlfn.LET(
  _xlpm.cf, UPPER(E43),
  _xlpm.data, D43,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3" s="5" t="e">
        <f t="shared" si="3"/>
        <v>#VALUE!</v>
      </c>
      <c r="L43" s="5" t="str">
        <f t="shared" si="4"/>
        <v xml:space="preserve">❌ FAIL - 8/50 points (1/6) - Expected: XXXXX, Found: </v>
      </c>
      <c r="M43" s="5" t="s">
        <v>24</v>
      </c>
      <c r="N43" s="5" t="s">
        <v>28</v>
      </c>
    </row>
    <row r="44" spans="1:14" ht="13">
      <c r="A44" s="5"/>
      <c r="B44" s="5"/>
      <c r="C44" s="5"/>
      <c r="D44" s="5"/>
      <c r="E44" s="5"/>
      <c r="G44" s="5" t="str">
        <f t="shared" si="2"/>
        <v>❌ FAILED: 6.4% - This person has probably not the right Codice Fiscale</v>
      </c>
      <c r="H44" s="6"/>
      <c r="I44" s="5" t="str">
        <f t="shared" si="0"/>
        <v>❌ FAIL - Wrong length (0/16 chars)</v>
      </c>
      <c r="J44" s="5" t="e">
        <f>_xlfn.LET(
  _xlpm.cf, UPPER(E44),
  _xlpm.data, D44,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4" s="5" t="e">
        <f t="shared" si="3"/>
        <v>#VALUE!</v>
      </c>
      <c r="L44" s="5" t="str">
        <f t="shared" si="4"/>
        <v xml:space="preserve">❌ FAIL - 8/50 points (1/6) - Expected: XXXXX, Found: </v>
      </c>
      <c r="M44" s="5" t="s">
        <v>24</v>
      </c>
      <c r="N44" s="5" t="s">
        <v>28</v>
      </c>
    </row>
    <row r="45" spans="1:14" ht="13">
      <c r="A45" s="5"/>
      <c r="B45" s="5"/>
      <c r="C45" s="5"/>
      <c r="D45" s="5"/>
      <c r="E45" s="5"/>
      <c r="G45" s="5" t="str">
        <f t="shared" si="2"/>
        <v>❌ FAILED: 6.4% - This person has probably not the right Codice Fiscale</v>
      </c>
      <c r="H45" s="6"/>
      <c r="I45" s="5" t="str">
        <f t="shared" si="0"/>
        <v>❌ FAIL - Wrong length (0/16 chars)</v>
      </c>
      <c r="J45" s="5" t="e">
        <f>_xlfn.LET(
  _xlpm.cf, UPPER(E45),
  _xlpm.data, D45,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5" s="5" t="e">
        <f t="shared" si="3"/>
        <v>#VALUE!</v>
      </c>
      <c r="L45" s="5" t="str">
        <f t="shared" si="4"/>
        <v xml:space="preserve">❌ FAIL - 8/50 points (1/6) - Expected: XXXXX, Found: </v>
      </c>
      <c r="M45" s="5" t="s">
        <v>24</v>
      </c>
      <c r="N45" s="5" t="s">
        <v>28</v>
      </c>
    </row>
    <row r="46" spans="1:14" ht="13">
      <c r="A46" s="5"/>
      <c r="B46" s="5"/>
      <c r="C46" s="5"/>
      <c r="D46" s="5"/>
      <c r="E46" s="5"/>
      <c r="G46" s="5" t="str">
        <f t="shared" si="2"/>
        <v>❌ FAILED: 6.4% - This person has probably not the right Codice Fiscale</v>
      </c>
      <c r="H46" s="6"/>
      <c r="I46" s="5" t="str">
        <f t="shared" si="0"/>
        <v>❌ FAIL - Wrong length (0/16 chars)</v>
      </c>
      <c r="J46" s="5" t="e">
        <f>_xlfn.LET(
  _xlpm.cf, UPPER(E46),
  _xlpm.data, D46,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6" s="5" t="e">
        <f t="shared" si="3"/>
        <v>#VALUE!</v>
      </c>
      <c r="L46" s="5" t="str">
        <f t="shared" si="4"/>
        <v xml:space="preserve">❌ FAIL - 8/50 points (1/6) - Expected: XXXXX, Found: </v>
      </c>
      <c r="M46" s="5" t="s">
        <v>24</v>
      </c>
      <c r="N46" s="5" t="s">
        <v>28</v>
      </c>
    </row>
    <row r="47" spans="1:14" ht="13">
      <c r="A47" s="5"/>
      <c r="B47" s="5"/>
      <c r="C47" s="5"/>
      <c r="D47" s="5"/>
      <c r="E47" s="5"/>
      <c r="G47" s="5" t="str">
        <f t="shared" si="2"/>
        <v>❌ FAILED: 6.4% - This person has probably not the right Codice Fiscale</v>
      </c>
      <c r="H47" s="6"/>
      <c r="I47" s="5" t="str">
        <f t="shared" si="0"/>
        <v>❌ FAIL - Wrong length (0/16 chars)</v>
      </c>
      <c r="J47" s="5" t="e">
        <f>_xlfn.LET(
  _xlpm.cf, UPPER(E47),
  _xlpm.data, D47,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7" s="5" t="e">
        <f t="shared" si="3"/>
        <v>#VALUE!</v>
      </c>
      <c r="L47" s="5" t="str">
        <f t="shared" si="4"/>
        <v xml:space="preserve">❌ FAIL - 8/50 points (1/6) - Expected: XXXXX, Found: </v>
      </c>
      <c r="M47" s="5" t="s">
        <v>24</v>
      </c>
      <c r="N47" s="5" t="s">
        <v>28</v>
      </c>
    </row>
    <row r="48" spans="1:14" ht="13">
      <c r="A48" s="5"/>
      <c r="B48" s="5"/>
      <c r="C48" s="5"/>
      <c r="D48" s="5"/>
      <c r="E48" s="5"/>
      <c r="G48" s="5" t="str">
        <f t="shared" si="2"/>
        <v>❌ FAILED: 6.4% - This person has probably not the right Codice Fiscale</v>
      </c>
      <c r="H48" s="6"/>
      <c r="I48" s="5" t="str">
        <f t="shared" si="0"/>
        <v>❌ FAIL - Wrong length (0/16 chars)</v>
      </c>
      <c r="J48" s="5" t="e">
        <f>_xlfn.LET(
  _xlpm.cf, UPPER(E48),
  _xlpm.data, D48,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8" s="5" t="e">
        <f t="shared" si="3"/>
        <v>#VALUE!</v>
      </c>
      <c r="L48" s="5" t="str">
        <f t="shared" si="4"/>
        <v xml:space="preserve">❌ FAIL - 8/50 points (1/6) - Expected: XXXXX, Found: </v>
      </c>
      <c r="M48" s="5" t="s">
        <v>24</v>
      </c>
      <c r="N48" s="5" t="s">
        <v>28</v>
      </c>
    </row>
    <row r="49" spans="1:14" ht="13">
      <c r="A49" s="5"/>
      <c r="B49" s="5"/>
      <c r="C49" s="5"/>
      <c r="D49" s="5"/>
      <c r="E49" s="5"/>
      <c r="G49" s="5" t="str">
        <f t="shared" si="2"/>
        <v>❌ FAILED: 6.4% - This person has probably not the right Codice Fiscale</v>
      </c>
      <c r="H49" s="6"/>
      <c r="I49" s="5" t="str">
        <f t="shared" si="0"/>
        <v>❌ FAIL - Wrong length (0/16 chars)</v>
      </c>
      <c r="J49" s="5" t="e">
        <f>_xlfn.LET(
  _xlpm.cf, UPPER(E49),
  _xlpm.data, D49,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9" s="5" t="e">
        <f t="shared" si="3"/>
        <v>#VALUE!</v>
      </c>
      <c r="L49" s="5" t="str">
        <f t="shared" si="4"/>
        <v xml:space="preserve">❌ FAIL - 8/50 points (1/6) - Expected: XXXXX, Found: </v>
      </c>
      <c r="M49" s="5" t="s">
        <v>24</v>
      </c>
      <c r="N49" s="5" t="s">
        <v>28</v>
      </c>
    </row>
    <row r="50" spans="1:14" ht="13">
      <c r="A50" s="5"/>
      <c r="B50" s="5"/>
      <c r="C50" s="5"/>
      <c r="D50" s="5"/>
      <c r="E50" s="5"/>
      <c r="G50" s="5" t="str">
        <f t="shared" si="2"/>
        <v>❌ FAILED: 6.4% - This person has probably not the right Codice Fiscale</v>
      </c>
      <c r="H50" s="6"/>
      <c r="I50" s="5" t="str">
        <f t="shared" si="0"/>
        <v>❌ FAIL - Wrong length (0/16 chars)</v>
      </c>
      <c r="J50" s="5" t="e">
        <f>_xlfn.LET(
  _xlpm.cf, UPPER(E50),
  _xlpm.data, D50,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0" s="5" t="e">
        <f t="shared" si="3"/>
        <v>#VALUE!</v>
      </c>
      <c r="L50" s="5" t="str">
        <f t="shared" si="4"/>
        <v xml:space="preserve">❌ FAIL - 8/50 points (1/6) - Expected: XXXXX, Found: </v>
      </c>
      <c r="M50" s="5" t="s">
        <v>24</v>
      </c>
      <c r="N50" s="5" t="s">
        <v>28</v>
      </c>
    </row>
    <row r="51" spans="1:14" ht="13">
      <c r="A51" s="5"/>
      <c r="B51" s="5"/>
      <c r="C51" s="5"/>
      <c r="D51" s="5"/>
      <c r="E51" s="5"/>
      <c r="G51" s="5" t="str">
        <f t="shared" si="2"/>
        <v>❌ FAILED: 6.4% - This person has probably not the right Codice Fiscale</v>
      </c>
      <c r="H51" s="6"/>
      <c r="I51" s="5" t="str">
        <f t="shared" si="0"/>
        <v>❌ FAIL - Wrong length (0/16 chars)</v>
      </c>
      <c r="J51" s="5" t="e">
        <f>_xlfn.LET(
  _xlpm.cf, UPPER(E51),
  _xlpm.data, D51,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1" s="5" t="e">
        <f t="shared" si="3"/>
        <v>#VALUE!</v>
      </c>
      <c r="L51" s="5" t="str">
        <f t="shared" si="4"/>
        <v xml:space="preserve">❌ FAIL - 8/50 points (1/6) - Expected: XXXXX, Found: </v>
      </c>
      <c r="M51" s="5" t="s">
        <v>24</v>
      </c>
      <c r="N51" s="5" t="s">
        <v>28</v>
      </c>
    </row>
    <row r="52" spans="1:14" ht="13">
      <c r="A52" s="5"/>
      <c r="B52" s="5"/>
      <c r="C52" s="5"/>
      <c r="D52" s="5"/>
      <c r="E52" s="5"/>
      <c r="G52" s="5" t="str">
        <f t="shared" si="2"/>
        <v>❌ FAILED: 6.4% - This person has probably not the right Codice Fiscale</v>
      </c>
      <c r="H52" s="6"/>
      <c r="I52" s="5" t="str">
        <f t="shared" si="0"/>
        <v>❌ FAIL - Wrong length (0/16 chars)</v>
      </c>
      <c r="J52" s="5" t="e">
        <f>_xlfn.LET(
  _xlpm.cf, UPPER(E52),
  _xlpm.data, D52,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2" s="5" t="e">
        <f t="shared" si="3"/>
        <v>#VALUE!</v>
      </c>
      <c r="L52" s="5" t="str">
        <f t="shared" si="4"/>
        <v xml:space="preserve">❌ FAIL - 8/50 points (1/6) - Expected: XXXXX, Found: </v>
      </c>
      <c r="M52" s="5" t="s">
        <v>24</v>
      </c>
      <c r="N52" s="5" t="s">
        <v>28</v>
      </c>
    </row>
    <row r="53" spans="1:14" ht="13">
      <c r="A53" s="5"/>
      <c r="B53" s="5"/>
      <c r="C53" s="5"/>
      <c r="D53" s="5"/>
      <c r="E53" s="5"/>
      <c r="G53" s="5" t="str">
        <f t="shared" si="2"/>
        <v>❌ FAILED: 6.4% - This person has probably not the right Codice Fiscale</v>
      </c>
      <c r="H53" s="6"/>
      <c r="I53" s="5" t="str">
        <f t="shared" si="0"/>
        <v>❌ FAIL - Wrong length (0/16 chars)</v>
      </c>
      <c r="J53" s="5" t="e">
        <f>_xlfn.LET(
  _xlpm.cf, UPPER(E53),
  _xlpm.data, D53,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3" s="5" t="e">
        <f t="shared" si="3"/>
        <v>#VALUE!</v>
      </c>
      <c r="L53" s="5" t="str">
        <f t="shared" si="4"/>
        <v xml:space="preserve">❌ FAIL - 8/50 points (1/6) - Expected: XXXXX, Found: </v>
      </c>
      <c r="M53" s="5" t="s">
        <v>24</v>
      </c>
      <c r="N53" s="5" t="s">
        <v>28</v>
      </c>
    </row>
    <row r="54" spans="1:14" ht="13">
      <c r="A54" s="5"/>
      <c r="B54" s="5"/>
      <c r="C54" s="5"/>
      <c r="D54" s="5"/>
      <c r="E54" s="5"/>
      <c r="G54" s="5" t="str">
        <f t="shared" si="2"/>
        <v>❌ FAILED: 6.4% - This person has probably not the right Codice Fiscale</v>
      </c>
      <c r="H54" s="6"/>
      <c r="I54" s="5" t="str">
        <f t="shared" si="0"/>
        <v>❌ FAIL - Wrong length (0/16 chars)</v>
      </c>
      <c r="J54" s="5" t="e">
        <f>_xlfn.LET(
  _xlpm.cf, UPPER(E54),
  _xlpm.data, D54,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4" s="5" t="e">
        <f t="shared" si="3"/>
        <v>#VALUE!</v>
      </c>
      <c r="L54" s="5" t="str">
        <f t="shared" si="4"/>
        <v xml:space="preserve">❌ FAIL - 8/50 points (1/6) - Expected: XXXXX, Found: </v>
      </c>
      <c r="M54" s="5" t="s">
        <v>24</v>
      </c>
      <c r="N54" s="5" t="s">
        <v>28</v>
      </c>
    </row>
    <row r="55" spans="1:14" ht="13">
      <c r="A55" s="5"/>
      <c r="B55" s="5"/>
      <c r="C55" s="5"/>
      <c r="D55" s="5"/>
      <c r="E55" s="5"/>
      <c r="G55" s="5" t="str">
        <f t="shared" si="2"/>
        <v>❌ FAILED: 6.4% - This person has probably not the right Codice Fiscale</v>
      </c>
      <c r="H55" s="6"/>
      <c r="I55" s="5" t="str">
        <f t="shared" si="0"/>
        <v>❌ FAIL - Wrong length (0/16 chars)</v>
      </c>
      <c r="J55" s="5" t="e">
        <f>_xlfn.LET(
  _xlpm.cf, UPPER(E55),
  _xlpm.data, D55,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5" s="5" t="e">
        <f t="shared" si="3"/>
        <v>#VALUE!</v>
      </c>
      <c r="L55" s="5" t="str">
        <f t="shared" si="4"/>
        <v xml:space="preserve">❌ FAIL - 8/50 points (1/6) - Expected: XXXXX, Found: </v>
      </c>
      <c r="M55" s="5" t="s">
        <v>24</v>
      </c>
      <c r="N55" s="5" t="s">
        <v>28</v>
      </c>
    </row>
    <row r="56" spans="1:14" ht="13">
      <c r="A56" s="5"/>
      <c r="B56" s="5"/>
      <c r="C56" s="5"/>
      <c r="D56" s="5"/>
      <c r="E56" s="5"/>
      <c r="G56" s="5" t="str">
        <f t="shared" si="2"/>
        <v>❌ FAILED: 6.4% - This person has probably not the right Codice Fiscale</v>
      </c>
      <c r="H56" s="6"/>
      <c r="I56" s="5" t="str">
        <f t="shared" si="0"/>
        <v>❌ FAIL - Wrong length (0/16 chars)</v>
      </c>
      <c r="J56" s="5" t="e">
        <f>_xlfn.LET(
  _xlpm.cf, UPPER(E56),
  _xlpm.data, D56,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6" s="5" t="e">
        <f t="shared" si="3"/>
        <v>#VALUE!</v>
      </c>
      <c r="L56" s="5" t="str">
        <f t="shared" si="4"/>
        <v xml:space="preserve">❌ FAIL - 8/50 points (1/6) - Expected: XXXXX, Found: </v>
      </c>
      <c r="M56" s="5" t="s">
        <v>24</v>
      </c>
      <c r="N56" s="5" t="s">
        <v>28</v>
      </c>
    </row>
    <row r="57" spans="1:14" ht="13">
      <c r="A57" s="5"/>
      <c r="B57" s="5"/>
      <c r="C57" s="5"/>
      <c r="D57" s="5"/>
      <c r="E57" s="5"/>
      <c r="G57" s="5" t="str">
        <f t="shared" si="2"/>
        <v>❌ FAILED: 6.4% - This person has probably not the right Codice Fiscale</v>
      </c>
      <c r="H57" s="6"/>
      <c r="I57" s="5" t="str">
        <f t="shared" si="0"/>
        <v>❌ FAIL - Wrong length (0/16 chars)</v>
      </c>
      <c r="J57" s="5" t="e">
        <f>_xlfn.LET(
  _xlpm.cf, UPPER(E57),
  _xlpm.data, D57,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7" s="5" t="e">
        <f t="shared" si="3"/>
        <v>#VALUE!</v>
      </c>
      <c r="L57" s="5" t="str">
        <f t="shared" si="4"/>
        <v xml:space="preserve">❌ FAIL - 8/50 points (1/6) - Expected: XXXXX, Found: </v>
      </c>
      <c r="M57" s="5" t="s">
        <v>24</v>
      </c>
      <c r="N57" s="5" t="s">
        <v>28</v>
      </c>
    </row>
    <row r="58" spans="1:14" ht="13">
      <c r="A58" s="5"/>
      <c r="B58" s="5"/>
      <c r="C58" s="5"/>
      <c r="D58" s="5"/>
      <c r="E58" s="5"/>
      <c r="G58" s="5" t="str">
        <f t="shared" si="2"/>
        <v>❌ FAILED: 6.4% - This person has probably not the right Codice Fiscale</v>
      </c>
      <c r="H58" s="6"/>
      <c r="I58" s="5" t="str">
        <f t="shared" si="0"/>
        <v>❌ FAIL - Wrong length (0/16 chars)</v>
      </c>
      <c r="J58" s="5" t="e">
        <f>_xlfn.LET(
  _xlpm.cf, UPPER(E58),
  _xlpm.data, D58,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8" s="5" t="e">
        <f t="shared" si="3"/>
        <v>#VALUE!</v>
      </c>
      <c r="L58" s="5" t="str">
        <f t="shared" si="4"/>
        <v xml:space="preserve">❌ FAIL - 8/50 points (1/6) - Expected: XXXXX, Found: </v>
      </c>
      <c r="M58" s="5" t="s">
        <v>24</v>
      </c>
      <c r="N58" s="5" t="s">
        <v>28</v>
      </c>
    </row>
    <row r="59" spans="1:14" ht="13">
      <c r="A59" s="5"/>
      <c r="B59" s="5"/>
      <c r="C59" s="5"/>
      <c r="D59" s="5"/>
      <c r="E59" s="5"/>
      <c r="G59" s="5" t="str">
        <f t="shared" si="2"/>
        <v>❌ FAILED: 6.4% - This person has probably not the right Codice Fiscale</v>
      </c>
      <c r="H59" s="6"/>
      <c r="I59" s="5" t="str">
        <f t="shared" si="0"/>
        <v>❌ FAIL - Wrong length (0/16 chars)</v>
      </c>
      <c r="J59" s="5" t="e">
        <f>_xlfn.LET(
  _xlpm.cf, UPPER(E59),
  _xlpm.data, D59,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9" s="5" t="e">
        <f t="shared" si="3"/>
        <v>#VALUE!</v>
      </c>
      <c r="L59" s="5" t="str">
        <f t="shared" si="4"/>
        <v xml:space="preserve">❌ FAIL - 8/50 points (1/6) - Expected: XXXXX, Found: </v>
      </c>
      <c r="M59" s="5" t="s">
        <v>24</v>
      </c>
      <c r="N59" s="5" t="s">
        <v>28</v>
      </c>
    </row>
    <row r="60" spans="1:14" ht="13">
      <c r="A60" s="5"/>
      <c r="B60" s="5"/>
      <c r="C60" s="5"/>
      <c r="D60" s="5"/>
      <c r="E60" s="5"/>
      <c r="G60" s="5" t="str">
        <f t="shared" si="2"/>
        <v>❌ FAILED: 6.4% - This person has probably not the right Codice Fiscale</v>
      </c>
      <c r="H60" s="6"/>
      <c r="I60" s="5" t="str">
        <f t="shared" si="0"/>
        <v>❌ FAIL - Wrong length (0/16 chars)</v>
      </c>
      <c r="J60" s="5" t="e">
        <f>_xlfn.LET(
  _xlpm.cf, UPPER(E60),
  _xlpm.data, D60,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60" s="5" t="e">
        <f t="shared" si="3"/>
        <v>#VALUE!</v>
      </c>
      <c r="L60" s="5" t="str">
        <f t="shared" si="4"/>
        <v xml:space="preserve">❌ FAIL - 8/50 points (1/6) - Expected: XXXXX, Found: </v>
      </c>
      <c r="M60" s="5" t="s">
        <v>24</v>
      </c>
      <c r="N60" s="5" t="s">
        <v>28</v>
      </c>
    </row>
    <row r="61" spans="1:14" ht="13">
      <c r="A61" s="5"/>
      <c r="B61" s="5"/>
      <c r="C61" s="5"/>
      <c r="D61" s="5"/>
      <c r="E61" s="5"/>
      <c r="G61" s="5" t="str">
        <f t="shared" si="2"/>
        <v>❌ FAILED: 6.4% - This person has probably not the right Codice Fiscale</v>
      </c>
      <c r="H61" s="6"/>
      <c r="I61" s="5" t="str">
        <f t="shared" si="0"/>
        <v>❌ FAIL - Wrong length (0/16 chars)</v>
      </c>
      <c r="J61" s="5" t="e">
        <f>_xlfn.LET(
  _xlpm.cf, UPPER(E61),
  _xlpm.data, D61,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61" s="5" t="e">
        <f t="shared" si="3"/>
        <v>#VALUE!</v>
      </c>
      <c r="L61" s="5" t="str">
        <f t="shared" si="4"/>
        <v xml:space="preserve">❌ FAIL - 8/50 points (1/6) - Expected: XXXXX, Found: </v>
      </c>
      <c r="M61" s="5" t="s">
        <v>24</v>
      </c>
      <c r="N61" s="5" t="s">
        <v>28</v>
      </c>
    </row>
    <row r="62" spans="1:14" ht="13">
      <c r="A62" s="5"/>
      <c r="B62" s="5"/>
      <c r="C62" s="5"/>
      <c r="D62" s="5"/>
      <c r="E62" s="5"/>
      <c r="G62" s="5" t="str">
        <f t="shared" si="2"/>
        <v>❌ FAILED: 6.4% - This person has probably not the right Codice Fiscale</v>
      </c>
      <c r="H62" s="6"/>
      <c r="I62" s="5" t="str">
        <f t="shared" si="0"/>
        <v>❌ FAIL - Wrong length (0/16 chars)</v>
      </c>
      <c r="J62" s="5" t="e">
        <f>_xlfn.LET(
  _xlpm.cf, UPPER(E62),
  _xlpm.data, D62,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62" s="5" t="e">
        <f t="shared" si="3"/>
        <v>#VALUE!</v>
      </c>
      <c r="L62" s="5" t="str">
        <f t="shared" si="4"/>
        <v xml:space="preserve">❌ FAIL - 8/50 points (1/6) - Expected: XXXXX, Found: </v>
      </c>
      <c r="M62" s="5" t="s">
        <v>24</v>
      </c>
      <c r="N62" s="5" t="s">
        <v>28</v>
      </c>
    </row>
    <row r="63" spans="1:14" ht="13">
      <c r="A63" s="5"/>
      <c r="B63" s="5"/>
      <c r="C63" s="5"/>
      <c r="D63" s="5"/>
      <c r="E63" s="5"/>
      <c r="G63" s="5" t="str">
        <f t="shared" si="2"/>
        <v>❌ FAILED: 6.4% - This person has probably not the right Codice Fiscale</v>
      </c>
      <c r="H63" s="6"/>
      <c r="I63" s="5" t="str">
        <f t="shared" si="0"/>
        <v>❌ FAIL - Wrong length (0/16 chars)</v>
      </c>
      <c r="J63" s="5" t="e">
        <f>_xlfn.LET(
  _xlpm.cf, UPPER(E63),
  _xlpm.data, D63,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63" s="5" t="e">
        <f t="shared" si="3"/>
        <v>#VALUE!</v>
      </c>
      <c r="L63" s="5" t="str">
        <f t="shared" si="4"/>
        <v xml:space="preserve">❌ FAIL - 8/50 points (1/6) - Expected: XXXXX, Found: </v>
      </c>
      <c r="M63" s="5" t="s">
        <v>24</v>
      </c>
      <c r="N63" s="5" t="s">
        <v>28</v>
      </c>
    </row>
    <row r="64" spans="1:14" ht="13">
      <c r="A64" s="5"/>
      <c r="B64" s="5"/>
      <c r="C64" s="5"/>
      <c r="D64" s="5"/>
      <c r="E64" s="5"/>
      <c r="G64" s="5" t="str">
        <f t="shared" si="2"/>
        <v>❌ FAILED: 6.4% - This person has probably not the right Codice Fiscale</v>
      </c>
      <c r="H64" s="6"/>
      <c r="I64" s="5" t="str">
        <f t="shared" si="0"/>
        <v>❌ FAIL - Wrong length (0/16 chars)</v>
      </c>
      <c r="J64" s="5" t="e">
        <f>_xlfn.LET(
  _xlpm.cf, UPPER(E64),
  _xlpm.data, D64,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64" s="5" t="e">
        <f t="shared" si="3"/>
        <v>#VALUE!</v>
      </c>
      <c r="L64" s="5" t="str">
        <f t="shared" si="4"/>
        <v xml:space="preserve">❌ FAIL - 8/50 points (1/6) - Expected: XXXXX, Found: </v>
      </c>
      <c r="M64" s="5" t="s">
        <v>24</v>
      </c>
      <c r="N64" s="5" t="s">
        <v>28</v>
      </c>
    </row>
    <row r="65" spans="1:14" ht="13">
      <c r="A65" s="5"/>
      <c r="B65" s="5"/>
      <c r="C65" s="5"/>
      <c r="D65" s="5"/>
      <c r="E65" s="5"/>
      <c r="G65" s="5" t="str">
        <f t="shared" si="2"/>
        <v>❌ FAILED: 6.4% - This person has probably not the right Codice Fiscale</v>
      </c>
      <c r="H65" s="6"/>
      <c r="I65" s="5" t="str">
        <f t="shared" si="0"/>
        <v>❌ FAIL - Wrong length (0/16 chars)</v>
      </c>
      <c r="J65" s="5" t="e">
        <f>_xlfn.LET(
  _xlpm.cf, UPPER(E65),
  _xlpm.data, D65,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65" s="5" t="e">
        <f t="shared" si="3"/>
        <v>#VALUE!</v>
      </c>
      <c r="L65" s="5" t="str">
        <f t="shared" si="4"/>
        <v xml:space="preserve">❌ FAIL - 8/50 points (1/6) - Expected: XXXXX, Found: </v>
      </c>
      <c r="M65" s="5" t="s">
        <v>24</v>
      </c>
      <c r="N65" s="5" t="s">
        <v>28</v>
      </c>
    </row>
    <row r="66" spans="1:14" ht="13">
      <c r="A66" s="5"/>
      <c r="B66" s="5"/>
      <c r="C66" s="5"/>
      <c r="D66" s="5"/>
      <c r="E66" s="5"/>
      <c r="G66" s="5" t="str">
        <f t="shared" si="2"/>
        <v>❌ FAILED: 6.4% - This person has probably not the right Codice Fiscale</v>
      </c>
      <c r="H66" s="6"/>
      <c r="I66" s="5" t="str">
        <f t="shared" si="0"/>
        <v>❌ FAIL - Wrong length (0/16 chars)</v>
      </c>
      <c r="J66" s="5" t="e">
        <f>_xlfn.LET(
  _xlpm.cf, UPPER(E66),
  _xlpm.data, D66,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66" s="5" t="e">
        <f t="shared" si="3"/>
        <v>#VALUE!</v>
      </c>
      <c r="L66" s="5" t="str">
        <f t="shared" si="4"/>
        <v xml:space="preserve">❌ FAIL - 8/50 points (1/6) - Expected: XXXXX, Found: </v>
      </c>
      <c r="M66" s="5" t="s">
        <v>24</v>
      </c>
      <c r="N66" s="5" t="s">
        <v>28</v>
      </c>
    </row>
    <row r="67" spans="1:14" ht="13">
      <c r="A67" s="5"/>
      <c r="B67" s="5"/>
      <c r="C67" s="5"/>
      <c r="D67" s="5"/>
      <c r="E67" s="5"/>
      <c r="G67" s="5" t="str">
        <f t="shared" ref="G67:G130" si="5">_xlfn.LET(
  _xlpm.check1_score, IF(ISNUMBER(SEARCH("✅", I67)), 10, 0),
  _xlpm.check2_score, IF(ISNUMBER(SEARCH("✅", J67)), 20, 0),
  _xlpm.check3_score, IF(ISNUMBER(SEARCH("✅", K67)), 10, 0),
  _xlpm.check4_score, IF(ISNUMBER(SEARCH("50/50", L67)), 40, IF(ISNUMBER(SEARCH("/50", L67)), VALUE(MID(L67, SEARCH("- ", L67) + 2, SEARCH("/50", L67) - SEARCH("- ", L67) - 2)) * 0.8, 0)),
  _xlpm.check5_score, IF(ISNUMBER(SEARCH("✅", M67)), 10, 0),
  _xlpm.check6_score, IF(ISNUMBER(SEARCH("✅", N67)), 10, 0),
  _xlpm.total_score,_xlfn.SINGLE( _xlpm.check1_score) +_xlfn.SINGLE( _xlpm.check2_score) +_xlfn.SINGLE( _xlpm.check3_score) +_xlfn.SINGLE( _xlpm.check4_score) +_xlfn.SINGLE( _xlpm.check5_score) +_xlfn.SINGLE( _xlpm.check6_score),
  _xlpm.failed_checks, 6 - (IF(_xlfn.SINGLE(_xlpm.check1_score)&gt;0,1,0) + IF(_xlfn.SINGLE(_xlpm.check2_score)&gt;0,1,0) + IF(_xlfn.SINGLE(_xlpm.check3_score)&gt;0,1,0) + IF(_xlfn.SINGLE(_xlpm.check4_score)&gt;=20,1,0) + IF(_xlfn.SINGLE(_xlpm.check5_score)&gt;0,1,0) + IF(_xlfn.SINGLE(_xlpm.check6_score)&gt;0,1,0)),
  _xlpm.length_fail,_xlfn.SINGLE( _xlpm.check1_score) = 0,
  IF(_xlfn.SINGLE(_xlpm.total_score) = 100,
    "🎯 PERFECT MATCH: 100% - Codice Fiscale is fully valid",
    IF(_xlfn.SINGLE(_xlpm.total_score) &gt;= 90,
      "✅ EXCELLENT: " &amp;_xlfn.SINGLE( _xlpm.total_score) &amp; "% - Very likely valid, minor verification recommended",
      IF(_xlfn.SINGLE(_xlpm.total_score) &gt;= 75,
        IF(AND(_xlfn.SINGLE(_xlpm.failed_checks) = 1, _xlpm.length_fail),
          "⚠️ SCORE: " &amp;_xlfn.SINGLE( _xlpm.total_score) &amp; "% - Check any typo in Codice Fiscale length (should be 16 characters)",
          "⚠️ SCORE: " &amp;_xlfn.SINGLE( _xlpm.total_score) &amp; "% - Not a perfect match, check for any typo"
        ),
        IF(_xlfn.SINGLE(_xlpm.total_score) &gt;= 50,
          "⚠️ SCORE: " &amp;_xlfn.SINGLE( _xlpm.total_score) &amp; "% - Significant issues detected, verify all data carefully",
          "❌ FAILED: " &amp;_xlfn.SINGLE( _xlpm.total_score) &amp; "% - This person has probably not the right Codice Fiscale"
        )
      )
    )
  )
)</f>
        <v>❌ FAILED: 6.4% - This person has probably not the right Codice Fiscale</v>
      </c>
      <c r="H67" s="6"/>
      <c r="I67" s="5" t="str">
        <f t="shared" si="0"/>
        <v>❌ FAIL - Wrong length (0/16 chars)</v>
      </c>
      <c r="J67" s="5" t="e">
        <f>_xlfn.LET(
  _xlpm.cf, UPPER(E67),
  _xlpm.data, D67,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67" s="5" t="e">
        <f t="shared" ref="K67:K130" si="6">_xlfn.LET(
  _xlpm.cf, UPPER(E67),
  _xlpm.gender_input, UPPER(C67),
  _xlpm.day_cf, VALUE(MID(_xlpm.cf, 10, 2)),
  _xlpm.cf_indicates_female, _xlpm.day_cf &gt; 40,
  _xlpm.input_is_female, _xlpm.gender_input = "FEMALE",
  _xlpm.gender_match, _xlpm.cf_indicates_female = _xlpm.input_is_female,
  IF(
    _xlpm.gender_match,
    "✅ PASS - Gender: " &amp; IF(_xlpm.input_is_female, "Female", "Male") &amp; " (day: " &amp; IF(_xlpm.cf_indicates_female, _xlpm.day_cf-40, _xlpm.day_cf) &amp; ")",
    "❌ FAIL - Gender mismatch: CF indicates " &amp;
      IF(_xlpm.cf_indicates_female, "Female (+40)", "Male") &amp;
      " (day: " &amp; IF(_xlpm.cf_indicates_female, _xlpm.day_cf-40, _xlpm.day_cf) &amp; ") but person is " &amp;
      IF(_xlpm.input_is_female, "Female", "Male")
  )
)</f>
        <v>#VALUE!</v>
      </c>
      <c r="L67" s="5" t="str">
        <f t="shared" si="4"/>
        <v xml:space="preserve">❌ FAIL - 8/50 points (1/6) - Expected: XXXXX, Found: </v>
      </c>
      <c r="M67" s="5" t="s">
        <v>24</v>
      </c>
      <c r="N67" s="5" t="s">
        <v>28</v>
      </c>
    </row>
    <row r="68" spans="1:14" ht="13">
      <c r="A68" s="5"/>
      <c r="B68" s="5"/>
      <c r="C68" s="5"/>
      <c r="D68" s="5"/>
      <c r="E68" s="5"/>
      <c r="G68" s="5" t="str">
        <f t="shared" si="5"/>
        <v>❌ FAILED: 6.4% - This person has probably not the right Codice Fiscale</v>
      </c>
      <c r="H68" s="6"/>
      <c r="I68" s="5" t="str">
        <f t="shared" si="0"/>
        <v>❌ FAIL - Wrong length (0/16 chars)</v>
      </c>
      <c r="J68" s="5" t="e">
        <f>_xlfn.LET(
  _xlpm.cf, UPPER(E68),
  _xlpm.data, D68,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68" s="5" t="e">
        <f t="shared" si="6"/>
        <v>#VALUE!</v>
      </c>
      <c r="L68" s="5" t="str">
        <f t="shared" si="4"/>
        <v xml:space="preserve">❌ FAIL - 8/50 points (1/6) - Expected: XXXXX, Found: </v>
      </c>
      <c r="M68" s="5" t="s">
        <v>24</v>
      </c>
      <c r="N68" s="5" t="s">
        <v>28</v>
      </c>
    </row>
    <row r="69" spans="1:14" ht="13">
      <c r="A69" s="5"/>
      <c r="B69" s="5"/>
      <c r="C69" s="5"/>
      <c r="D69" s="5"/>
      <c r="E69" s="5"/>
      <c r="G69" s="5" t="str">
        <f t="shared" si="5"/>
        <v>❌ FAILED: 6.4% - This person has probably not the right Codice Fiscale</v>
      </c>
      <c r="H69" s="6"/>
      <c r="I69" s="5" t="str">
        <f t="shared" si="0"/>
        <v>❌ FAIL - Wrong length (0/16 chars)</v>
      </c>
      <c r="J69" s="5" t="e">
        <f>_xlfn.LET(
  _xlpm.cf, UPPER(E69),
  _xlpm.data, D69,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69" s="5" t="e">
        <f t="shared" si="6"/>
        <v>#VALUE!</v>
      </c>
      <c r="L69" s="5" t="str">
        <f t="shared" ref="L69:L132" si="7">_xlfn.LET(
  _xlpm.cf_code, LEFT(UPPER(E69), 6),
  _xlpm.surname, UPPER(B69),
  _xlpm.name_clean, SUBSTITUTE(UPPER(A69), " ", ""),
  _xlpm.s_cons, SUBSTITUTE(SUBSTITUTE(SUBSTITUTE(SUBSTITUTE(SUBSTITUTE(_xlfn.SINGLE(_xlpm.surname), "A", ""), "E", ""), "I", ""), "O", ""), "U", ""),
  _xlpm.s_vowels, SUBSTITUTE(SUBSTITUTE(SUBSTITUTE(SUBSTITUTE(SUBSTITUTE(SUBSTITUTE(SUBSTITUTE(SUBSTITUTE(SUBSTITUTE(SUBSTITUTE(SUBSTITUTE(SUBSTITUTE(SUBSTITUTE(SUBSTITUTE(SUBSTITUTE(SUBSTITUTE(SUBSTITUTE(SUBSTITUTE(SUBSTITUTE(SUBSTITUTE(SUBSTITUTE(_xlfn.SINGLE(_xlpm.surname), "B", ""), "C", ""), "D", ""), "F", ""), "G", ""), "H", ""), "J", ""), "K", ""), "L", ""), "M", ""), "N", ""), "P", ""), "Q", ""), "R", ""), "S", ""), "T", ""), "V", ""), "W", ""), "X", ""), "Y", ""), "Z", ""),
  _xlpm.n_cons, SUBSTITUTE(SUBSTITUTE(SUBSTITUTE(SUBSTITUTE(SUBSTITUTE(_xlfn.SINGLE(_xlpm.name_clean), "A", ""), "E", ""), "I", ""), "O", ""), "U", ""),
  _xlpm.n_vowels, SUBSTITUTE(SUBSTITUTE(SUBSTITUTE(SUBSTITUTE(SUBSTITUTE(SUBSTITUTE(SUBSTITUTE(SUBSTITUTE(SUBSTITUTE(SUBSTITUTE(SUBSTITUTE(SUBSTITUTE(SUBSTITUTE(SUBSTITUTE(SUBSTITUTE(SUBSTITUTE(SUBSTITUTE(SUBSTITUTE(SUBSTITUTE(SUBSTITUTE(SUBSTITUTE(_xlfn.SINGLE(_xlpm.name_clean), "B", ""), "C", ""), "D", ""), "F", ""), "G", ""), "H", ""), "J", ""), "K", ""), "L", ""), "M", ""), "N", ""), "P", ""), "Q", ""), "R", ""), "S", ""), "T", ""), "V", ""), "W", ""), "X", ""), "Y", ""), "Z", ""),
  _xlpm.surname_code, IF(LEN(_xlfn.SINGLE(_xlpm.s_cons)) &gt;= 3, LEFT(_xlfn.SINGLE(_xlpm.s_cons), 3), IF(LEN(_xlfn.SINGLE(_xlpm.s_cons)) = 2,_xlfn.SINGLE( _xlpm.s_cons) &amp; LEFT(_xlfn.SINGLE(_xlpm.s_vowels), 1), IF(LEN(_xlfn.SINGLE(_xlpm.s_cons)) = 1, LEFT(_xlfn.SINGLE(_xlpm.s_cons) &amp;_xlfn.SINGLE( _xlpm.s_vowels) &amp; "XX", 3), LEFT(_xlfn.SINGLE(_xlpm.s_vowels) &amp; "XX", 3)))),
  _xlpm.name_code, IF(LEN(_xlfn.SINGLE(_xlpm.n_cons)) &gt;= 4,
    MID(_xlfn.SINGLE(_xlpm.n_cons),1,1) &amp; MID(_xlfn.SINGLE(_xlpm.n_cons),3,1) &amp; MID(_xlfn.SINGLE(_xlpm.n_cons),4,1),
    IF(LEN(_xlfn.SINGLE(_xlpm.n_cons)) = 3,
      LEFT(_xlfn.SINGLE(_xlpm.n_cons), 3),
      LEFT(_xlfn.SINGLE(_xlpm.n_cons) &amp;_xlfn.SINGLE( _xlpm.n_vowels) &amp; "XXX", 3)
    )
  ),
  _xlpm.expected,_xlfn.SINGLE( _xlpm.surname_code) &amp;_xlfn.SINGLE( _xlpm.name_code),
  _xlpm.matches, (IF(MID(_xlfn.SINGLE(_xlpm.expected),1,1)=MID(_xlfn.SINGLE(_xlpm.cf_code),1,1),1,0))+(IF(MID(_xlfn.SINGLE(_xlpm.expected),2,1)=MID(_xlfn.SINGLE(_xlpm.cf_code),2,1),1,0))+(IF(MID(_xlfn.SINGLE(_xlpm.expected),3,1)=MID(_xlfn.SINGLE(_xlpm.cf_code),3,1),1,0))+(IF(MID(_xlfn.SINGLE(_xlpm.expected),4,1)=MID(_xlfn.SINGLE(_xlpm.cf_code),4,1),1,0))+(IF(MID(_xlfn.SINGLE(_xlpm.expected),5,1)=MID(_xlfn.SINGLE(_xlpm.cf_code),5,1),1,0))+(IF(MID(_xlfn.SINGLE(_xlpm.expected),6,1)=MID(_xlfn.SINGLE(_xlpm.cf_code),6,1),1,0)),
  IF(_xlfn.SINGLE(_xlpm.matches)=6, "✅ PASS - 50/50 points", "❌ FAIL - " &amp; ROUND(_xlfn.SINGLE(_xlpm.matches)/6*50,0) &amp; "/50 points (" &amp;_xlfn.SINGLE( _xlpm.matches) &amp; "/6) - Expected: " &amp;_xlfn.SINGLE( _xlpm.expected) &amp; ", Found: " &amp;_xlfn.SINGLE( _xlpm.cf_code))
)</f>
        <v xml:space="preserve">❌ FAIL - 8/50 points (1/6) - Expected: XXXXX, Found: </v>
      </c>
      <c r="M69" s="5" t="s">
        <v>24</v>
      </c>
      <c r="N69" s="5" t="s">
        <v>28</v>
      </c>
    </row>
    <row r="70" spans="1:14" ht="13">
      <c r="A70" s="5"/>
      <c r="B70" s="5"/>
      <c r="C70" s="5"/>
      <c r="D70" s="5"/>
      <c r="E70" s="5"/>
      <c r="G70" s="5" t="str">
        <f t="shared" si="5"/>
        <v>❌ FAILED: 6.4% - This person has probably not the right Codice Fiscale</v>
      </c>
      <c r="H70" s="6"/>
      <c r="I70" s="5" t="str">
        <f t="shared" si="0"/>
        <v>❌ FAIL - Wrong length (0/16 chars)</v>
      </c>
      <c r="J70" s="5" t="e">
        <f>_xlfn.LET(
  _xlpm.cf, UPPER(E70),
  _xlpm.data, D70,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70" s="5" t="e">
        <f t="shared" si="6"/>
        <v>#VALUE!</v>
      </c>
      <c r="L70" s="5" t="str">
        <f t="shared" si="7"/>
        <v xml:space="preserve">❌ FAIL - 8/50 points (1/6) - Expected: XXXXX, Found: </v>
      </c>
      <c r="M70" s="5" t="s">
        <v>24</v>
      </c>
      <c r="N70" s="5" t="s">
        <v>28</v>
      </c>
    </row>
    <row r="71" spans="1:14" ht="13">
      <c r="A71" s="5"/>
      <c r="B71" s="5"/>
      <c r="C71" s="5"/>
      <c r="D71" s="5"/>
      <c r="E71" s="5"/>
      <c r="G71" s="5" t="str">
        <f t="shared" si="5"/>
        <v>❌ FAILED: 6.4% - This person has probably not the right Codice Fiscale</v>
      </c>
      <c r="H71" s="6"/>
      <c r="I71" s="5" t="str">
        <f t="shared" si="0"/>
        <v>❌ FAIL - Wrong length (0/16 chars)</v>
      </c>
      <c r="J71" s="5" t="e">
        <f>_xlfn.LET(
  _xlpm.cf, UPPER(E71),
  _xlpm.data, D71,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71" s="5" t="e">
        <f t="shared" si="6"/>
        <v>#VALUE!</v>
      </c>
      <c r="L71" s="5" t="str">
        <f t="shared" si="7"/>
        <v xml:space="preserve">❌ FAIL - 8/50 points (1/6) - Expected: XXXXX, Found: </v>
      </c>
      <c r="M71" s="5" t="s">
        <v>24</v>
      </c>
      <c r="N71" s="5" t="s">
        <v>28</v>
      </c>
    </row>
    <row r="72" spans="1:14" ht="13">
      <c r="A72" s="5"/>
      <c r="B72" s="5"/>
      <c r="C72" s="5"/>
      <c r="D72" s="5"/>
      <c r="E72" s="5"/>
      <c r="G72" s="5" t="str">
        <f t="shared" si="5"/>
        <v>❌ FAILED: 6.4% - This person has probably not the right Codice Fiscale</v>
      </c>
      <c r="H72" s="6"/>
      <c r="I72" s="5" t="str">
        <f t="shared" si="0"/>
        <v>❌ FAIL - Wrong length (0/16 chars)</v>
      </c>
      <c r="J72" s="5" t="e">
        <f>_xlfn.LET(
  _xlpm.cf, UPPER(E72),
  _xlpm.data, D72,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72" s="5" t="e">
        <f t="shared" si="6"/>
        <v>#VALUE!</v>
      </c>
      <c r="L72" s="5" t="str">
        <f t="shared" si="7"/>
        <v xml:space="preserve">❌ FAIL - 8/50 points (1/6) - Expected: XXXXX, Found: </v>
      </c>
      <c r="M72" s="5" t="s">
        <v>24</v>
      </c>
      <c r="N72" s="5" t="s">
        <v>28</v>
      </c>
    </row>
    <row r="73" spans="1:14" ht="13">
      <c r="A73" s="5"/>
      <c r="B73" s="5"/>
      <c r="C73" s="5"/>
      <c r="D73" s="5"/>
      <c r="E73" s="5"/>
      <c r="G73" s="5" t="str">
        <f t="shared" si="5"/>
        <v>❌ FAILED: 6.4% - This person has probably not the right Codice Fiscale</v>
      </c>
      <c r="H73" s="6"/>
      <c r="I73" s="5" t="str">
        <f t="shared" si="0"/>
        <v>❌ FAIL - Wrong length (0/16 chars)</v>
      </c>
      <c r="J73" s="5" t="e">
        <f>_xlfn.LET(
  _xlpm.cf, UPPER(E73),
  _xlpm.data, D73,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73" s="5" t="e">
        <f t="shared" si="6"/>
        <v>#VALUE!</v>
      </c>
      <c r="L73" s="5" t="str">
        <f t="shared" si="7"/>
        <v xml:space="preserve">❌ FAIL - 8/50 points (1/6) - Expected: XXXXX, Found: </v>
      </c>
      <c r="M73" s="5" t="s">
        <v>24</v>
      </c>
      <c r="N73" s="5" t="s">
        <v>28</v>
      </c>
    </row>
    <row r="74" spans="1:14" ht="13">
      <c r="A74" s="5"/>
      <c r="B74" s="5"/>
      <c r="C74" s="5"/>
      <c r="D74" s="5"/>
      <c r="E74" s="5"/>
      <c r="G74" s="5" t="str">
        <f t="shared" si="5"/>
        <v>❌ FAILED: 6.4% - This person has probably not the right Codice Fiscale</v>
      </c>
      <c r="H74" s="6"/>
      <c r="I74" s="5" t="str">
        <f t="shared" si="0"/>
        <v>❌ FAIL - Wrong length (0/16 chars)</v>
      </c>
      <c r="J74" s="5" t="e">
        <f>_xlfn.LET(
  _xlpm.cf, UPPER(E74),
  _xlpm.data, D74,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74" s="5" t="e">
        <f t="shared" si="6"/>
        <v>#VALUE!</v>
      </c>
      <c r="L74" s="5" t="str">
        <f t="shared" si="7"/>
        <v xml:space="preserve">❌ FAIL - 8/50 points (1/6) - Expected: XXXXX, Found: </v>
      </c>
      <c r="M74" s="5" t="s">
        <v>24</v>
      </c>
      <c r="N74" s="5" t="s">
        <v>28</v>
      </c>
    </row>
    <row r="75" spans="1:14" ht="13">
      <c r="A75" s="5"/>
      <c r="B75" s="5"/>
      <c r="C75" s="5"/>
      <c r="D75" s="5"/>
      <c r="E75" s="5"/>
      <c r="G75" s="5" t="str">
        <f t="shared" si="5"/>
        <v>❌ FAILED: 6.4% - This person has probably not the right Codice Fiscale</v>
      </c>
      <c r="H75" s="6"/>
      <c r="I75" s="5" t="str">
        <f t="shared" si="0"/>
        <v>❌ FAIL - Wrong length (0/16 chars)</v>
      </c>
      <c r="J75" s="5" t="e">
        <f>_xlfn.LET(
  _xlpm.cf, UPPER(E75),
  _xlpm.data, D75,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75" s="5" t="e">
        <f t="shared" si="6"/>
        <v>#VALUE!</v>
      </c>
      <c r="L75" s="5" t="str">
        <f t="shared" si="7"/>
        <v xml:space="preserve">❌ FAIL - 8/50 points (1/6) - Expected: XXXXX, Found: </v>
      </c>
      <c r="M75" s="5" t="s">
        <v>24</v>
      </c>
      <c r="N75" s="5" t="s">
        <v>28</v>
      </c>
    </row>
    <row r="76" spans="1:14" ht="13">
      <c r="A76" s="5"/>
      <c r="B76" s="5"/>
      <c r="C76" s="5"/>
      <c r="D76" s="5"/>
      <c r="E76" s="5"/>
      <c r="G76" s="5" t="str">
        <f t="shared" si="5"/>
        <v>❌ FAILED: 6.4% - This person has probably not the right Codice Fiscale</v>
      </c>
      <c r="H76" s="6"/>
      <c r="I76" s="5" t="str">
        <f t="shared" si="0"/>
        <v>❌ FAIL - Wrong length (0/16 chars)</v>
      </c>
      <c r="J76" s="5" t="e">
        <f>_xlfn.LET(
  _xlpm.cf, UPPER(E76),
  _xlpm.data, D76,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76" s="5" t="e">
        <f t="shared" si="6"/>
        <v>#VALUE!</v>
      </c>
      <c r="L76" s="5" t="str">
        <f t="shared" si="7"/>
        <v xml:space="preserve">❌ FAIL - 8/50 points (1/6) - Expected: XXXXX, Found: </v>
      </c>
      <c r="M76" s="5" t="s">
        <v>24</v>
      </c>
      <c r="N76" s="5" t="s">
        <v>28</v>
      </c>
    </row>
    <row r="77" spans="1:14" ht="13">
      <c r="A77" s="5"/>
      <c r="B77" s="5"/>
      <c r="C77" s="5"/>
      <c r="D77" s="5"/>
      <c r="E77" s="5"/>
      <c r="G77" s="5" t="str">
        <f t="shared" si="5"/>
        <v>❌ FAILED: 6.4% - This person has probably not the right Codice Fiscale</v>
      </c>
      <c r="H77" s="6"/>
      <c r="I77" s="5" t="str">
        <f t="shared" si="0"/>
        <v>❌ FAIL - Wrong length (0/16 chars)</v>
      </c>
      <c r="J77" s="5" t="e">
        <f>_xlfn.LET(
  _xlpm.cf, UPPER(E77),
  _xlpm.data, D77,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77" s="5" t="e">
        <f t="shared" si="6"/>
        <v>#VALUE!</v>
      </c>
      <c r="L77" s="5" t="str">
        <f t="shared" si="7"/>
        <v xml:space="preserve">❌ FAIL - 8/50 points (1/6) - Expected: XXXXX, Found: </v>
      </c>
      <c r="M77" s="5" t="s">
        <v>24</v>
      </c>
      <c r="N77" s="5" t="s">
        <v>28</v>
      </c>
    </row>
    <row r="78" spans="1:14" ht="13">
      <c r="A78" s="5"/>
      <c r="B78" s="5"/>
      <c r="C78" s="5"/>
      <c r="D78" s="5"/>
      <c r="E78" s="5"/>
      <c r="G78" s="5" t="str">
        <f t="shared" si="5"/>
        <v>❌ FAILED: 6.4% - This person has probably not the right Codice Fiscale</v>
      </c>
      <c r="H78" s="6"/>
      <c r="I78" s="5" t="str">
        <f t="shared" si="0"/>
        <v>❌ FAIL - Wrong length (0/16 chars)</v>
      </c>
      <c r="J78" s="5" t="e">
        <f>_xlfn.LET(
  _xlpm.cf, UPPER(E78),
  _xlpm.data, D78,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78" s="5" t="e">
        <f t="shared" si="6"/>
        <v>#VALUE!</v>
      </c>
      <c r="L78" s="5" t="str">
        <f t="shared" si="7"/>
        <v xml:space="preserve">❌ FAIL - 8/50 points (1/6) - Expected: XXXXX, Found: </v>
      </c>
      <c r="M78" s="5" t="s">
        <v>24</v>
      </c>
      <c r="N78" s="5" t="s">
        <v>28</v>
      </c>
    </row>
    <row r="79" spans="1:14" ht="13">
      <c r="A79" s="5"/>
      <c r="B79" s="5"/>
      <c r="C79" s="5"/>
      <c r="D79" s="5"/>
      <c r="E79" s="5"/>
      <c r="G79" s="5" t="str">
        <f t="shared" si="5"/>
        <v>❌ FAILED: 6.4% - This person has probably not the right Codice Fiscale</v>
      </c>
      <c r="H79" s="6"/>
      <c r="I79" s="5" t="str">
        <f t="shared" si="0"/>
        <v>❌ FAIL - Wrong length (0/16 chars)</v>
      </c>
      <c r="J79" s="5" t="e">
        <f>_xlfn.LET(
  _xlpm.cf, UPPER(E79),
  _xlpm.data, D79,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79" s="5" t="e">
        <f t="shared" si="6"/>
        <v>#VALUE!</v>
      </c>
      <c r="L79" s="5" t="str">
        <f t="shared" si="7"/>
        <v xml:space="preserve">❌ FAIL - 8/50 points (1/6) - Expected: XXXXX, Found: </v>
      </c>
      <c r="M79" s="5" t="s">
        <v>24</v>
      </c>
      <c r="N79" s="5" t="s">
        <v>28</v>
      </c>
    </row>
    <row r="80" spans="1:14" ht="13">
      <c r="A80" s="5"/>
      <c r="B80" s="5"/>
      <c r="C80" s="5"/>
      <c r="D80" s="5"/>
      <c r="E80" s="5"/>
      <c r="G80" s="5" t="str">
        <f t="shared" si="5"/>
        <v>❌ FAILED: 6.4% - This person has probably not the right Codice Fiscale</v>
      </c>
      <c r="H80" s="6"/>
      <c r="I80" s="5" t="str">
        <f t="shared" si="0"/>
        <v>❌ FAIL - Wrong length (0/16 chars)</v>
      </c>
      <c r="J80" s="5" t="e">
        <f>_xlfn.LET(
  _xlpm.cf, UPPER(E80),
  _xlpm.data, D80,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80" s="5" t="e">
        <f t="shared" si="6"/>
        <v>#VALUE!</v>
      </c>
      <c r="L80" s="5" t="str">
        <f t="shared" si="7"/>
        <v xml:space="preserve">❌ FAIL - 8/50 points (1/6) - Expected: XXXXX, Found: </v>
      </c>
      <c r="M80" s="5" t="s">
        <v>24</v>
      </c>
      <c r="N80" s="5" t="s">
        <v>28</v>
      </c>
    </row>
    <row r="81" spans="1:14" ht="13">
      <c r="A81" s="5"/>
      <c r="B81" s="5"/>
      <c r="C81" s="5"/>
      <c r="D81" s="5"/>
      <c r="E81" s="5"/>
      <c r="G81" s="5" t="str">
        <f t="shared" si="5"/>
        <v>❌ FAILED: 6.4% - This person has probably not the right Codice Fiscale</v>
      </c>
      <c r="H81" s="6"/>
      <c r="I81" s="5" t="str">
        <f t="shared" si="0"/>
        <v>❌ FAIL - Wrong length (0/16 chars)</v>
      </c>
      <c r="J81" s="5" t="e">
        <f>_xlfn.LET(
  _xlpm.cf, UPPER(E81),
  _xlpm.data, D81,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81" s="5" t="e">
        <f t="shared" si="6"/>
        <v>#VALUE!</v>
      </c>
      <c r="L81" s="5" t="str">
        <f t="shared" si="7"/>
        <v xml:space="preserve">❌ FAIL - 8/50 points (1/6) - Expected: XXXXX, Found: </v>
      </c>
      <c r="M81" s="5" t="s">
        <v>24</v>
      </c>
      <c r="N81" s="5" t="s">
        <v>28</v>
      </c>
    </row>
    <row r="82" spans="1:14" ht="13">
      <c r="A82" s="5"/>
      <c r="B82" s="5"/>
      <c r="C82" s="5"/>
      <c r="D82" s="5"/>
      <c r="E82" s="5"/>
      <c r="G82" s="5" t="str">
        <f t="shared" si="5"/>
        <v>❌ FAILED: 6.4% - This person has probably not the right Codice Fiscale</v>
      </c>
      <c r="H82" s="6"/>
      <c r="I82" s="5" t="str">
        <f t="shared" si="0"/>
        <v>❌ FAIL - Wrong length (0/16 chars)</v>
      </c>
      <c r="J82" s="5" t="e">
        <f>_xlfn.LET(
  _xlpm.cf, UPPER(E82),
  _xlpm.data, D82,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82" s="5" t="e">
        <f t="shared" si="6"/>
        <v>#VALUE!</v>
      </c>
      <c r="L82" s="5" t="str">
        <f t="shared" si="7"/>
        <v xml:space="preserve">❌ FAIL - 8/50 points (1/6) - Expected: XXXXX, Found: </v>
      </c>
      <c r="M82" s="5" t="s">
        <v>24</v>
      </c>
      <c r="N82" s="5" t="s">
        <v>28</v>
      </c>
    </row>
    <row r="83" spans="1:14" ht="13">
      <c r="A83" s="5"/>
      <c r="B83" s="5"/>
      <c r="C83" s="5"/>
      <c r="D83" s="5"/>
      <c r="E83" s="5"/>
      <c r="G83" s="5" t="str">
        <f t="shared" si="5"/>
        <v>❌ FAILED: 6.4% - This person has probably not the right Codice Fiscale</v>
      </c>
      <c r="H83" s="6"/>
      <c r="I83" s="5" t="str">
        <f t="shared" si="0"/>
        <v>❌ FAIL - Wrong length (0/16 chars)</v>
      </c>
      <c r="J83" s="5" t="e">
        <f>_xlfn.LET(
  _xlpm.cf, UPPER(E83),
  _xlpm.data, D83,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83" s="5" t="e">
        <f t="shared" si="6"/>
        <v>#VALUE!</v>
      </c>
      <c r="L83" s="5" t="str">
        <f t="shared" si="7"/>
        <v xml:space="preserve">❌ FAIL - 8/50 points (1/6) - Expected: XXXXX, Found: </v>
      </c>
      <c r="M83" s="5" t="s">
        <v>24</v>
      </c>
      <c r="N83" s="5" t="s">
        <v>28</v>
      </c>
    </row>
    <row r="84" spans="1:14" ht="13">
      <c r="A84" s="5"/>
      <c r="B84" s="5"/>
      <c r="C84" s="5"/>
      <c r="D84" s="5"/>
      <c r="E84" s="5"/>
      <c r="G84" s="5" t="str">
        <f t="shared" si="5"/>
        <v>❌ FAILED: 6.4% - This person has probably not the right Codice Fiscale</v>
      </c>
      <c r="H84" s="6"/>
      <c r="I84" s="5" t="str">
        <f t="shared" si="0"/>
        <v>❌ FAIL - Wrong length (0/16 chars)</v>
      </c>
      <c r="J84" s="5" t="e">
        <f>_xlfn.LET(
  _xlpm.cf, UPPER(E84),
  _xlpm.data, D84,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84" s="5" t="e">
        <f t="shared" si="6"/>
        <v>#VALUE!</v>
      </c>
      <c r="L84" s="5" t="str">
        <f t="shared" si="7"/>
        <v xml:space="preserve">❌ FAIL - 8/50 points (1/6) - Expected: XXXXX, Found: </v>
      </c>
      <c r="M84" s="5" t="s">
        <v>24</v>
      </c>
      <c r="N84" s="5" t="s">
        <v>28</v>
      </c>
    </row>
    <row r="85" spans="1:14" ht="13">
      <c r="A85" s="5"/>
      <c r="B85" s="5"/>
      <c r="C85" s="5"/>
      <c r="D85" s="5"/>
      <c r="E85" s="5"/>
      <c r="G85" s="5" t="str">
        <f t="shared" si="5"/>
        <v>❌ FAILED: 6.4% - This person has probably not the right Codice Fiscale</v>
      </c>
      <c r="H85" s="6"/>
      <c r="I85" s="5" t="str">
        <f t="shared" si="0"/>
        <v>❌ FAIL - Wrong length (0/16 chars)</v>
      </c>
      <c r="J85" s="5" t="e">
        <f>_xlfn.LET(
  _xlpm.cf, UPPER(E85),
  _xlpm.data, D85,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85" s="5" t="e">
        <f t="shared" si="6"/>
        <v>#VALUE!</v>
      </c>
      <c r="L85" s="5" t="str">
        <f t="shared" si="7"/>
        <v xml:space="preserve">❌ FAIL - 8/50 points (1/6) - Expected: XXXXX, Found: </v>
      </c>
      <c r="M85" s="5" t="s">
        <v>24</v>
      </c>
      <c r="N85" s="5" t="s">
        <v>28</v>
      </c>
    </row>
    <row r="86" spans="1:14" ht="13">
      <c r="A86" s="5"/>
      <c r="B86" s="5"/>
      <c r="C86" s="5"/>
      <c r="D86" s="5"/>
      <c r="E86" s="5"/>
      <c r="G86" s="5" t="str">
        <f t="shared" si="5"/>
        <v>❌ FAILED: 6.4% - This person has probably not the right Codice Fiscale</v>
      </c>
      <c r="H86" s="6"/>
      <c r="I86" s="5" t="str">
        <f t="shared" si="0"/>
        <v>❌ FAIL - Wrong length (0/16 chars)</v>
      </c>
      <c r="J86" s="5" t="e">
        <f>_xlfn.LET(
  _xlpm.cf, UPPER(E86),
  _xlpm.data, D86,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86" s="5" t="e">
        <f t="shared" si="6"/>
        <v>#VALUE!</v>
      </c>
      <c r="L86" s="5" t="str">
        <f t="shared" si="7"/>
        <v xml:space="preserve">❌ FAIL - 8/50 points (1/6) - Expected: XXXXX, Found: </v>
      </c>
      <c r="M86" s="5" t="s">
        <v>24</v>
      </c>
      <c r="N86" s="5" t="s">
        <v>28</v>
      </c>
    </row>
    <row r="87" spans="1:14" ht="13">
      <c r="A87" s="5"/>
      <c r="B87" s="5"/>
      <c r="C87" s="5"/>
      <c r="D87" s="5"/>
      <c r="E87" s="5"/>
      <c r="G87" s="5" t="str">
        <f t="shared" si="5"/>
        <v>❌ FAILED: 6.4% - This person has probably not the right Codice Fiscale</v>
      </c>
      <c r="H87" s="6"/>
      <c r="I87" s="5" t="str">
        <f t="shared" si="0"/>
        <v>❌ FAIL - Wrong length (0/16 chars)</v>
      </c>
      <c r="J87" s="5" t="e">
        <f>_xlfn.LET(
  _xlpm.cf, UPPER(E87),
  _xlpm.data, D87,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87" s="5" t="e">
        <f t="shared" si="6"/>
        <v>#VALUE!</v>
      </c>
      <c r="L87" s="5" t="str">
        <f t="shared" si="7"/>
        <v xml:space="preserve">❌ FAIL - 8/50 points (1/6) - Expected: XXXXX, Found: </v>
      </c>
      <c r="M87" s="5" t="s">
        <v>24</v>
      </c>
      <c r="N87" s="5" t="s">
        <v>28</v>
      </c>
    </row>
    <row r="88" spans="1:14" ht="13">
      <c r="A88" s="5"/>
      <c r="B88" s="5"/>
      <c r="C88" s="5"/>
      <c r="D88" s="5"/>
      <c r="E88" s="5"/>
      <c r="G88" s="5" t="str">
        <f t="shared" si="5"/>
        <v>❌ FAILED: 6.4% - This person has probably not the right Codice Fiscale</v>
      </c>
      <c r="H88" s="6"/>
      <c r="I88" s="5" t="str">
        <f t="shared" si="0"/>
        <v>❌ FAIL - Wrong length (0/16 chars)</v>
      </c>
      <c r="J88" s="5" t="e">
        <f>_xlfn.LET(
  _xlpm.cf, UPPER(E88),
  _xlpm.data, D88,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88" s="5" t="e">
        <f t="shared" si="6"/>
        <v>#VALUE!</v>
      </c>
      <c r="L88" s="5" t="str">
        <f t="shared" si="7"/>
        <v xml:space="preserve">❌ FAIL - 8/50 points (1/6) - Expected: XXXXX, Found: </v>
      </c>
      <c r="M88" s="5" t="s">
        <v>24</v>
      </c>
      <c r="N88" s="5" t="s">
        <v>28</v>
      </c>
    </row>
    <row r="89" spans="1:14" ht="13">
      <c r="A89" s="5"/>
      <c r="B89" s="5"/>
      <c r="C89" s="5"/>
      <c r="D89" s="5"/>
      <c r="E89" s="5"/>
      <c r="G89" s="5" t="str">
        <f t="shared" si="5"/>
        <v>❌ FAILED: 6.4% - This person has probably not the right Codice Fiscale</v>
      </c>
      <c r="H89" s="6"/>
      <c r="I89" s="5" t="str">
        <f t="shared" si="0"/>
        <v>❌ FAIL - Wrong length (0/16 chars)</v>
      </c>
      <c r="J89" s="5" t="e">
        <f>_xlfn.LET(
  _xlpm.cf, UPPER(E89),
  _xlpm.data, D89,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89" s="5" t="e">
        <f t="shared" si="6"/>
        <v>#VALUE!</v>
      </c>
      <c r="L89" s="5" t="str">
        <f t="shared" si="7"/>
        <v xml:space="preserve">❌ FAIL - 8/50 points (1/6) - Expected: XXXXX, Found: </v>
      </c>
      <c r="M89" s="5" t="s">
        <v>24</v>
      </c>
      <c r="N89" s="5" t="s">
        <v>28</v>
      </c>
    </row>
    <row r="90" spans="1:14" ht="13">
      <c r="A90" s="5"/>
      <c r="B90" s="5"/>
      <c r="C90" s="5"/>
      <c r="D90" s="5"/>
      <c r="E90" s="5"/>
      <c r="G90" s="5" t="str">
        <f t="shared" si="5"/>
        <v>❌ FAILED: 6.4% - This person has probably not the right Codice Fiscale</v>
      </c>
      <c r="H90" s="6"/>
      <c r="I90" s="5" t="str">
        <f t="shared" si="0"/>
        <v>❌ FAIL - Wrong length (0/16 chars)</v>
      </c>
      <c r="J90" s="5" t="e">
        <f>_xlfn.LET(
  _xlpm.cf, UPPER(E90),
  _xlpm.data, D90,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90" s="5" t="e">
        <f t="shared" si="6"/>
        <v>#VALUE!</v>
      </c>
      <c r="L90" s="5" t="str">
        <f t="shared" si="7"/>
        <v xml:space="preserve">❌ FAIL - 8/50 points (1/6) - Expected: XXXXX, Found: </v>
      </c>
      <c r="M90" s="5" t="s">
        <v>24</v>
      </c>
      <c r="N90" s="5" t="s">
        <v>28</v>
      </c>
    </row>
    <row r="91" spans="1:14" ht="13">
      <c r="A91" s="5"/>
      <c r="B91" s="5"/>
      <c r="C91" s="5"/>
      <c r="D91" s="5"/>
      <c r="E91" s="5"/>
      <c r="G91" s="5" t="str">
        <f t="shared" si="5"/>
        <v>❌ FAILED: 6.4% - This person has probably not the right Codice Fiscale</v>
      </c>
      <c r="H91" s="6"/>
      <c r="I91" s="5" t="str">
        <f t="shared" si="0"/>
        <v>❌ FAIL - Wrong length (0/16 chars)</v>
      </c>
      <c r="J91" s="5" t="e">
        <f>_xlfn.LET(
  _xlpm.cf, UPPER(E91),
  _xlpm.data, D91,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91" s="5" t="e">
        <f t="shared" si="6"/>
        <v>#VALUE!</v>
      </c>
      <c r="L91" s="5" t="str">
        <f t="shared" si="7"/>
        <v xml:space="preserve">❌ FAIL - 8/50 points (1/6) - Expected: XXXXX, Found: </v>
      </c>
      <c r="M91" s="5" t="s">
        <v>24</v>
      </c>
      <c r="N91" s="5" t="s">
        <v>28</v>
      </c>
    </row>
    <row r="92" spans="1:14" ht="13">
      <c r="A92" s="5"/>
      <c r="B92" s="5"/>
      <c r="C92" s="5"/>
      <c r="D92" s="5"/>
      <c r="E92" s="5"/>
      <c r="G92" s="5" t="str">
        <f t="shared" si="5"/>
        <v>❌ FAILED: 6.4% - This person has probably not the right Codice Fiscale</v>
      </c>
      <c r="H92" s="6"/>
      <c r="I92" s="5" t="str">
        <f t="shared" si="0"/>
        <v>❌ FAIL - Wrong length (0/16 chars)</v>
      </c>
      <c r="J92" s="5" t="e">
        <f>_xlfn.LET(
  _xlpm.cf, UPPER(E92),
  _xlpm.data, D92,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92" s="5" t="e">
        <f t="shared" si="6"/>
        <v>#VALUE!</v>
      </c>
      <c r="L92" s="5" t="str">
        <f t="shared" si="7"/>
        <v xml:space="preserve">❌ FAIL - 8/50 points (1/6) - Expected: XXXXX, Found: </v>
      </c>
      <c r="M92" s="5" t="s">
        <v>24</v>
      </c>
      <c r="N92" s="5" t="s">
        <v>28</v>
      </c>
    </row>
    <row r="93" spans="1:14" ht="13">
      <c r="A93" s="5"/>
      <c r="B93" s="5"/>
      <c r="C93" s="5"/>
      <c r="D93" s="5"/>
      <c r="E93" s="5"/>
      <c r="G93" s="5" t="str">
        <f t="shared" si="5"/>
        <v>❌ FAILED: 6.4% - This person has probably not the right Codice Fiscale</v>
      </c>
      <c r="H93" s="6"/>
      <c r="I93" s="5" t="str">
        <f t="shared" si="0"/>
        <v>❌ FAIL - Wrong length (0/16 chars)</v>
      </c>
      <c r="J93" s="5" t="e">
        <f>_xlfn.LET(
  _xlpm.cf, UPPER(E93),
  _xlpm.data, D93,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93" s="5" t="e">
        <f t="shared" si="6"/>
        <v>#VALUE!</v>
      </c>
      <c r="L93" s="5" t="str">
        <f t="shared" si="7"/>
        <v xml:space="preserve">❌ FAIL - 8/50 points (1/6) - Expected: XXXXX, Found: </v>
      </c>
      <c r="M93" s="5" t="s">
        <v>24</v>
      </c>
      <c r="N93" s="5" t="s">
        <v>28</v>
      </c>
    </row>
    <row r="94" spans="1:14" ht="13">
      <c r="A94" s="5"/>
      <c r="B94" s="5"/>
      <c r="C94" s="5"/>
      <c r="D94" s="5"/>
      <c r="E94" s="5"/>
      <c r="G94" s="5" t="str">
        <f t="shared" si="5"/>
        <v>❌ FAILED: 6.4% - This person has probably not the right Codice Fiscale</v>
      </c>
      <c r="H94" s="6"/>
      <c r="I94" s="5" t="str">
        <f t="shared" si="0"/>
        <v>❌ FAIL - Wrong length (0/16 chars)</v>
      </c>
      <c r="J94" s="5" t="e">
        <f>_xlfn.LET(
  _xlpm.cf, UPPER(E94),
  _xlpm.data, D94,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94" s="5" t="e">
        <f t="shared" si="6"/>
        <v>#VALUE!</v>
      </c>
      <c r="L94" s="5" t="str">
        <f t="shared" si="7"/>
        <v xml:space="preserve">❌ FAIL - 8/50 points (1/6) - Expected: XXXXX, Found: </v>
      </c>
      <c r="M94" s="5" t="s">
        <v>24</v>
      </c>
      <c r="N94" s="5" t="s">
        <v>28</v>
      </c>
    </row>
    <row r="95" spans="1:14" ht="13">
      <c r="A95" s="5"/>
      <c r="B95" s="5"/>
      <c r="C95" s="5"/>
      <c r="D95" s="5"/>
      <c r="E95" s="5"/>
      <c r="G95" s="5" t="str">
        <f t="shared" si="5"/>
        <v>❌ FAILED: 6.4% - This person has probably not the right Codice Fiscale</v>
      </c>
      <c r="H95" s="6"/>
      <c r="I95" s="5" t="str">
        <f t="shared" si="0"/>
        <v>❌ FAIL - Wrong length (0/16 chars)</v>
      </c>
      <c r="J95" s="5" t="e">
        <f>_xlfn.LET(
  _xlpm.cf, UPPER(E95),
  _xlpm.data, D95,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95" s="5" t="e">
        <f t="shared" si="6"/>
        <v>#VALUE!</v>
      </c>
      <c r="L95" s="5" t="str">
        <f t="shared" si="7"/>
        <v xml:space="preserve">❌ FAIL - 8/50 points (1/6) - Expected: XXXXX, Found: </v>
      </c>
      <c r="M95" s="5" t="s">
        <v>24</v>
      </c>
      <c r="N95" s="5" t="s">
        <v>28</v>
      </c>
    </row>
    <row r="96" spans="1:14" ht="13">
      <c r="A96" s="5"/>
      <c r="B96" s="5"/>
      <c r="C96" s="5"/>
      <c r="D96" s="5"/>
      <c r="E96" s="5"/>
      <c r="G96" s="5" t="str">
        <f t="shared" si="5"/>
        <v>❌ FAILED: 6.4% - This person has probably not the right Codice Fiscale</v>
      </c>
      <c r="H96" s="6"/>
      <c r="I96" s="5" t="str">
        <f t="shared" si="0"/>
        <v>❌ FAIL - Wrong length (0/16 chars)</v>
      </c>
      <c r="J96" s="5" t="e">
        <f>_xlfn.LET(
  _xlpm.cf, UPPER(E96),
  _xlpm.data, D96,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96" s="5" t="e">
        <f t="shared" si="6"/>
        <v>#VALUE!</v>
      </c>
      <c r="L96" s="5" t="str">
        <f t="shared" si="7"/>
        <v xml:space="preserve">❌ FAIL - 8/50 points (1/6) - Expected: XXXXX, Found: </v>
      </c>
      <c r="M96" s="5" t="s">
        <v>24</v>
      </c>
      <c r="N96" s="5" t="s">
        <v>28</v>
      </c>
    </row>
    <row r="97" spans="1:14" ht="13">
      <c r="A97" s="5"/>
      <c r="B97" s="5"/>
      <c r="C97" s="5"/>
      <c r="D97" s="5"/>
      <c r="E97" s="5"/>
      <c r="G97" s="5" t="str">
        <f t="shared" si="5"/>
        <v>❌ FAILED: 6.4% - This person has probably not the right Codice Fiscale</v>
      </c>
      <c r="H97" s="6"/>
      <c r="I97" s="5" t="str">
        <f t="shared" si="0"/>
        <v>❌ FAIL - Wrong length (0/16 chars)</v>
      </c>
      <c r="J97" s="5" t="e">
        <f>_xlfn.LET(
  _xlpm.cf, UPPER(E97),
  _xlpm.data, D97,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97" s="5" t="e">
        <f t="shared" si="6"/>
        <v>#VALUE!</v>
      </c>
      <c r="L97" s="5" t="str">
        <f t="shared" si="7"/>
        <v xml:space="preserve">❌ FAIL - 8/50 points (1/6) - Expected: XXXXX, Found: </v>
      </c>
      <c r="M97" s="5" t="s">
        <v>24</v>
      </c>
      <c r="N97" s="5" t="s">
        <v>28</v>
      </c>
    </row>
    <row r="98" spans="1:14" ht="13">
      <c r="A98" s="5"/>
      <c r="B98" s="5"/>
      <c r="C98" s="5"/>
      <c r="D98" s="5"/>
      <c r="E98" s="5"/>
      <c r="G98" s="5" t="str">
        <f t="shared" si="5"/>
        <v>❌ FAILED: 6.4% - This person has probably not the right Codice Fiscale</v>
      </c>
      <c r="H98" s="6"/>
      <c r="I98" s="5" t="str">
        <f t="shared" si="0"/>
        <v>❌ FAIL - Wrong length (0/16 chars)</v>
      </c>
      <c r="J98" s="5" t="e">
        <f>_xlfn.LET(
  _xlpm.cf, UPPER(E98),
  _xlpm.data, D98,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98" s="5" t="e">
        <f t="shared" si="6"/>
        <v>#VALUE!</v>
      </c>
      <c r="L98" s="5" t="str">
        <f t="shared" si="7"/>
        <v xml:space="preserve">❌ FAIL - 8/50 points (1/6) - Expected: XXXXX, Found: </v>
      </c>
      <c r="M98" s="5" t="s">
        <v>24</v>
      </c>
      <c r="N98" s="5" t="s">
        <v>28</v>
      </c>
    </row>
    <row r="99" spans="1:14" ht="13">
      <c r="A99" s="5"/>
      <c r="B99" s="5"/>
      <c r="C99" s="5"/>
      <c r="D99" s="5"/>
      <c r="E99" s="5"/>
      <c r="G99" s="5" t="str">
        <f t="shared" si="5"/>
        <v>❌ FAILED: 6.4% - This person has probably not the right Codice Fiscale</v>
      </c>
      <c r="H99" s="6"/>
      <c r="I99" s="5" t="str">
        <f t="shared" si="0"/>
        <v>❌ FAIL - Wrong length (0/16 chars)</v>
      </c>
      <c r="J99" s="5" t="e">
        <f>_xlfn.LET(
  _xlpm.cf, UPPER(E99),
  _xlpm.data, D99,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99" s="5" t="e">
        <f t="shared" si="6"/>
        <v>#VALUE!</v>
      </c>
      <c r="L99" s="5" t="str">
        <f t="shared" si="7"/>
        <v xml:space="preserve">❌ FAIL - 8/50 points (1/6) - Expected: XXXXX, Found: </v>
      </c>
      <c r="M99" s="5" t="s">
        <v>24</v>
      </c>
      <c r="N99" s="5" t="s">
        <v>28</v>
      </c>
    </row>
    <row r="100" spans="1:14" ht="13">
      <c r="A100" s="5"/>
      <c r="B100" s="5"/>
      <c r="C100" s="5"/>
      <c r="D100" s="5"/>
      <c r="E100" s="5"/>
      <c r="G100" s="5" t="str">
        <f t="shared" si="5"/>
        <v>❌ FAILED: 6.4% - This person has probably not the right Codice Fiscale</v>
      </c>
      <c r="H100" s="6"/>
      <c r="I100" s="5" t="str">
        <f t="shared" si="0"/>
        <v>❌ FAIL - Wrong length (0/16 chars)</v>
      </c>
      <c r="J100" s="5" t="e">
        <f>_xlfn.LET(
  _xlpm.cf, UPPER(E100),
  _xlpm.data, D100,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00" s="5" t="e">
        <f t="shared" si="6"/>
        <v>#VALUE!</v>
      </c>
      <c r="L100" s="5" t="str">
        <f t="shared" si="7"/>
        <v xml:space="preserve">❌ FAIL - 8/50 points (1/6) - Expected: XXXXX, Found: </v>
      </c>
      <c r="M100" s="5" t="s">
        <v>24</v>
      </c>
      <c r="N100" s="5" t="s">
        <v>28</v>
      </c>
    </row>
    <row r="101" spans="1:14" ht="13">
      <c r="A101" s="5"/>
      <c r="B101" s="5"/>
      <c r="C101" s="5"/>
      <c r="D101" s="5"/>
      <c r="E101" s="5"/>
      <c r="G101" s="5" t="str">
        <f t="shared" si="5"/>
        <v>❌ FAILED: 6.4% - This person has probably not the right Codice Fiscale</v>
      </c>
      <c r="H101" s="6"/>
      <c r="I101" s="5" t="str">
        <f t="shared" si="0"/>
        <v>❌ FAIL - Wrong length (0/16 chars)</v>
      </c>
      <c r="J101" s="5" t="e">
        <f>_xlfn.LET(
  _xlpm.cf, UPPER(E101),
  _xlpm.data, D101,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01" s="5" t="e">
        <f t="shared" si="6"/>
        <v>#VALUE!</v>
      </c>
      <c r="L101" s="5" t="str">
        <f t="shared" si="7"/>
        <v xml:space="preserve">❌ FAIL - 8/50 points (1/6) - Expected: XXXXX, Found: </v>
      </c>
      <c r="M101" s="5" t="s">
        <v>24</v>
      </c>
      <c r="N101" s="5" t="s">
        <v>28</v>
      </c>
    </row>
    <row r="102" spans="1:14" ht="13">
      <c r="A102" s="5"/>
      <c r="B102" s="5"/>
      <c r="C102" s="5"/>
      <c r="D102" s="5"/>
      <c r="E102" s="5"/>
      <c r="G102" s="5" t="str">
        <f t="shared" si="5"/>
        <v>❌ FAILED: 6.4% - This person has probably not the right Codice Fiscale</v>
      </c>
      <c r="H102" s="6"/>
      <c r="I102" s="5" t="str">
        <f t="shared" si="0"/>
        <v>❌ FAIL - Wrong length (0/16 chars)</v>
      </c>
      <c r="J102" s="5" t="e">
        <f>_xlfn.LET(
  _xlpm.cf, UPPER(E102),
  _xlpm.data, D102,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02" s="5" t="e">
        <f t="shared" si="6"/>
        <v>#VALUE!</v>
      </c>
      <c r="L102" s="5" t="str">
        <f t="shared" si="7"/>
        <v xml:space="preserve">❌ FAIL - 8/50 points (1/6) - Expected: XXXXX, Found: </v>
      </c>
      <c r="M102" s="5" t="s">
        <v>24</v>
      </c>
      <c r="N102" s="5" t="s">
        <v>28</v>
      </c>
    </row>
    <row r="103" spans="1:14" ht="13">
      <c r="A103" s="5"/>
      <c r="B103" s="5"/>
      <c r="C103" s="5"/>
      <c r="D103" s="5"/>
      <c r="E103" s="5"/>
      <c r="G103" s="5" t="str">
        <f t="shared" si="5"/>
        <v>❌ FAILED: 6.4% - This person has probably not the right Codice Fiscale</v>
      </c>
      <c r="H103" s="6"/>
      <c r="I103" s="5" t="str">
        <f t="shared" si="0"/>
        <v>❌ FAIL - Wrong length (0/16 chars)</v>
      </c>
      <c r="J103" s="5" t="e">
        <f>_xlfn.LET(
  _xlpm.cf, UPPER(E103),
  _xlpm.data, D103,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03" s="5" t="e">
        <f t="shared" si="6"/>
        <v>#VALUE!</v>
      </c>
      <c r="L103" s="5" t="str">
        <f t="shared" si="7"/>
        <v xml:space="preserve">❌ FAIL - 8/50 points (1/6) - Expected: XXXXX, Found: </v>
      </c>
      <c r="M103" s="5" t="s">
        <v>24</v>
      </c>
      <c r="N103" s="5" t="s">
        <v>28</v>
      </c>
    </row>
    <row r="104" spans="1:14" ht="13">
      <c r="A104" s="5"/>
      <c r="B104" s="5"/>
      <c r="C104" s="5"/>
      <c r="D104" s="5"/>
      <c r="E104" s="5"/>
      <c r="G104" s="5" t="str">
        <f t="shared" si="5"/>
        <v>❌ FAILED: 6.4% - This person has probably not the right Codice Fiscale</v>
      </c>
      <c r="H104" s="6"/>
      <c r="I104" s="5" t="str">
        <f t="shared" si="0"/>
        <v>❌ FAIL - Wrong length (0/16 chars)</v>
      </c>
      <c r="J104" s="5" t="e">
        <f>_xlfn.LET(
  _xlpm.cf, UPPER(E104),
  _xlpm.data, D104,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04" s="5" t="e">
        <f t="shared" si="6"/>
        <v>#VALUE!</v>
      </c>
      <c r="L104" s="5" t="str">
        <f t="shared" si="7"/>
        <v xml:space="preserve">❌ FAIL - 8/50 points (1/6) - Expected: XXXXX, Found: </v>
      </c>
      <c r="M104" s="5" t="s">
        <v>24</v>
      </c>
      <c r="N104" s="5" t="s">
        <v>28</v>
      </c>
    </row>
    <row r="105" spans="1:14" ht="13">
      <c r="A105" s="5"/>
      <c r="B105" s="5"/>
      <c r="C105" s="5"/>
      <c r="D105" s="5"/>
      <c r="E105" s="5"/>
      <c r="G105" s="5" t="str">
        <f t="shared" si="5"/>
        <v>❌ FAILED: 6.4% - This person has probably not the right Codice Fiscale</v>
      </c>
      <c r="H105" s="6"/>
      <c r="I105" s="5" t="str">
        <f t="shared" si="0"/>
        <v>❌ FAIL - Wrong length (0/16 chars)</v>
      </c>
      <c r="J105" s="5" t="e">
        <f>_xlfn.LET(
  _xlpm.cf, UPPER(E105),
  _xlpm.data, D105,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05" s="5" t="e">
        <f t="shared" si="6"/>
        <v>#VALUE!</v>
      </c>
      <c r="L105" s="5" t="str">
        <f t="shared" si="7"/>
        <v xml:space="preserve">❌ FAIL - 8/50 points (1/6) - Expected: XXXXX, Found: </v>
      </c>
      <c r="M105" s="5" t="s">
        <v>24</v>
      </c>
      <c r="N105" s="5" t="s">
        <v>28</v>
      </c>
    </row>
    <row r="106" spans="1:14" ht="13">
      <c r="A106" s="5"/>
      <c r="B106" s="5"/>
      <c r="C106" s="5"/>
      <c r="D106" s="5"/>
      <c r="E106" s="5"/>
      <c r="G106" s="5" t="str">
        <f t="shared" si="5"/>
        <v>❌ FAILED: 6.4% - This person has probably not the right Codice Fiscale</v>
      </c>
      <c r="H106" s="6"/>
      <c r="I106" s="5" t="str">
        <f t="shared" si="0"/>
        <v>❌ FAIL - Wrong length (0/16 chars)</v>
      </c>
      <c r="J106" s="5" t="e">
        <f>_xlfn.LET(
  _xlpm.cf, UPPER(E106),
  _xlpm.data, D106,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06" s="5" t="e">
        <f t="shared" si="6"/>
        <v>#VALUE!</v>
      </c>
      <c r="L106" s="5" t="str">
        <f t="shared" si="7"/>
        <v xml:space="preserve">❌ FAIL - 8/50 points (1/6) - Expected: XXXXX, Found: </v>
      </c>
      <c r="M106" s="5" t="s">
        <v>24</v>
      </c>
      <c r="N106" s="5" t="s">
        <v>28</v>
      </c>
    </row>
    <row r="107" spans="1:14" ht="13">
      <c r="A107" s="5"/>
      <c r="B107" s="5"/>
      <c r="C107" s="5"/>
      <c r="D107" s="5"/>
      <c r="E107" s="5"/>
      <c r="G107" s="5" t="str">
        <f t="shared" si="5"/>
        <v>❌ FAILED: 6.4% - This person has probably not the right Codice Fiscale</v>
      </c>
      <c r="H107" s="6"/>
      <c r="I107" s="5" t="str">
        <f t="shared" si="0"/>
        <v>❌ FAIL - Wrong length (0/16 chars)</v>
      </c>
      <c r="J107" s="5" t="e">
        <f>_xlfn.LET(
  _xlpm.cf, UPPER(E107),
  _xlpm.data, D107,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07" s="5" t="e">
        <f t="shared" si="6"/>
        <v>#VALUE!</v>
      </c>
      <c r="L107" s="5" t="str">
        <f t="shared" si="7"/>
        <v xml:space="preserve">❌ FAIL - 8/50 points (1/6) - Expected: XXXXX, Found: </v>
      </c>
      <c r="M107" s="5" t="s">
        <v>24</v>
      </c>
      <c r="N107" s="5" t="s">
        <v>28</v>
      </c>
    </row>
    <row r="108" spans="1:14" ht="13">
      <c r="A108" s="5"/>
      <c r="B108" s="5"/>
      <c r="C108" s="5"/>
      <c r="D108" s="5"/>
      <c r="E108" s="5"/>
      <c r="G108" s="5" t="str">
        <f t="shared" si="5"/>
        <v>❌ FAILED: 6.4% - This person has probably not the right Codice Fiscale</v>
      </c>
      <c r="H108" s="6"/>
      <c r="I108" s="5" t="str">
        <f t="shared" si="0"/>
        <v>❌ FAIL - Wrong length (0/16 chars)</v>
      </c>
      <c r="J108" s="5" t="e">
        <f>_xlfn.LET(
  _xlpm.cf, UPPER(E108),
  _xlpm.data, D108,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08" s="5" t="e">
        <f t="shared" si="6"/>
        <v>#VALUE!</v>
      </c>
      <c r="L108" s="5" t="str">
        <f t="shared" si="7"/>
        <v xml:space="preserve">❌ FAIL - 8/50 points (1/6) - Expected: XXXXX, Found: </v>
      </c>
      <c r="M108" s="5" t="s">
        <v>24</v>
      </c>
      <c r="N108" s="5" t="s">
        <v>28</v>
      </c>
    </row>
    <row r="109" spans="1:14" ht="13">
      <c r="A109" s="5"/>
      <c r="B109" s="5"/>
      <c r="C109" s="5"/>
      <c r="D109" s="5"/>
      <c r="E109" s="5"/>
      <c r="G109" s="5" t="str">
        <f t="shared" si="5"/>
        <v>❌ FAILED: 6.4% - This person has probably not the right Codice Fiscale</v>
      </c>
      <c r="H109" s="6"/>
      <c r="I109" s="5" t="str">
        <f t="shared" si="0"/>
        <v>❌ FAIL - Wrong length (0/16 chars)</v>
      </c>
      <c r="J109" s="5" t="e">
        <f>_xlfn.LET(
  _xlpm.cf, UPPER(E109),
  _xlpm.data, D109,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09" s="5" t="e">
        <f t="shared" si="6"/>
        <v>#VALUE!</v>
      </c>
      <c r="L109" s="5" t="str">
        <f t="shared" si="7"/>
        <v xml:space="preserve">❌ FAIL - 8/50 points (1/6) - Expected: XXXXX, Found: </v>
      </c>
      <c r="M109" s="5" t="s">
        <v>24</v>
      </c>
      <c r="N109" s="5" t="s">
        <v>28</v>
      </c>
    </row>
    <row r="110" spans="1:14" ht="13">
      <c r="A110" s="5"/>
      <c r="B110" s="5"/>
      <c r="C110" s="5"/>
      <c r="D110" s="5"/>
      <c r="E110" s="5"/>
      <c r="G110" s="5" t="str">
        <f t="shared" si="5"/>
        <v>❌ FAILED: 6.4% - This person has probably not the right Codice Fiscale</v>
      </c>
      <c r="H110" s="6"/>
      <c r="I110" s="5" t="str">
        <f t="shared" si="0"/>
        <v>❌ FAIL - Wrong length (0/16 chars)</v>
      </c>
      <c r="J110" s="5" t="e">
        <f>_xlfn.LET(
  _xlpm.cf, UPPER(E110),
  _xlpm.data, D110,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10" s="5" t="e">
        <f t="shared" si="6"/>
        <v>#VALUE!</v>
      </c>
      <c r="L110" s="5" t="str">
        <f t="shared" si="7"/>
        <v xml:space="preserve">❌ FAIL - 8/50 points (1/6) - Expected: XXXXX, Found: </v>
      </c>
      <c r="M110" s="5" t="s">
        <v>24</v>
      </c>
      <c r="N110" s="5" t="s">
        <v>28</v>
      </c>
    </row>
    <row r="111" spans="1:14" ht="13">
      <c r="A111" s="5"/>
      <c r="B111" s="5"/>
      <c r="C111" s="5"/>
      <c r="D111" s="5"/>
      <c r="E111" s="5"/>
      <c r="G111" s="5" t="str">
        <f t="shared" si="5"/>
        <v>❌ FAILED: 6.4% - This person has probably not the right Codice Fiscale</v>
      </c>
      <c r="H111" s="6"/>
      <c r="I111" s="5" t="str">
        <f t="shared" si="0"/>
        <v>❌ FAIL - Wrong length (0/16 chars)</v>
      </c>
      <c r="J111" s="5" t="e">
        <f>_xlfn.LET(
  _xlpm.cf, UPPER(E111),
  _xlpm.data, D111,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11" s="5" t="e">
        <f t="shared" si="6"/>
        <v>#VALUE!</v>
      </c>
      <c r="L111" s="5" t="str">
        <f t="shared" si="7"/>
        <v xml:space="preserve">❌ FAIL - 8/50 points (1/6) - Expected: XXXXX, Found: </v>
      </c>
      <c r="M111" s="5" t="s">
        <v>24</v>
      </c>
      <c r="N111" s="5" t="s">
        <v>28</v>
      </c>
    </row>
    <row r="112" spans="1:14" ht="13">
      <c r="A112" s="5"/>
      <c r="B112" s="5"/>
      <c r="C112" s="5"/>
      <c r="D112" s="5"/>
      <c r="E112" s="5"/>
      <c r="G112" s="5" t="str">
        <f t="shared" si="5"/>
        <v>❌ FAILED: 6.4% - This person has probably not the right Codice Fiscale</v>
      </c>
      <c r="H112" s="6"/>
      <c r="I112" s="5" t="str">
        <f t="shared" si="0"/>
        <v>❌ FAIL - Wrong length (0/16 chars)</v>
      </c>
      <c r="J112" s="5" t="e">
        <f>_xlfn.LET(
  _xlpm.cf, UPPER(E112),
  _xlpm.data, D112,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12" s="5" t="e">
        <f t="shared" si="6"/>
        <v>#VALUE!</v>
      </c>
      <c r="L112" s="5" t="str">
        <f t="shared" si="7"/>
        <v xml:space="preserve">❌ FAIL - 8/50 points (1/6) - Expected: XXXXX, Found: </v>
      </c>
      <c r="M112" s="5" t="s">
        <v>24</v>
      </c>
      <c r="N112" s="5" t="s">
        <v>28</v>
      </c>
    </row>
    <row r="113" spans="1:14" ht="13">
      <c r="A113" s="5"/>
      <c r="B113" s="5"/>
      <c r="C113" s="5"/>
      <c r="D113" s="5"/>
      <c r="E113" s="5"/>
      <c r="G113" s="5" t="str">
        <f t="shared" si="5"/>
        <v>❌ FAILED: 6.4% - This person has probably not the right Codice Fiscale</v>
      </c>
      <c r="H113" s="6"/>
      <c r="I113" s="5" t="str">
        <f t="shared" si="0"/>
        <v>❌ FAIL - Wrong length (0/16 chars)</v>
      </c>
      <c r="J113" s="5" t="e">
        <f>_xlfn.LET(
  _xlpm.cf, UPPER(E113),
  _xlpm.data, D113,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13" s="5" t="e">
        <f t="shared" si="6"/>
        <v>#VALUE!</v>
      </c>
      <c r="L113" s="5" t="str">
        <f t="shared" si="7"/>
        <v xml:space="preserve">❌ FAIL - 8/50 points (1/6) - Expected: XXXXX, Found: </v>
      </c>
      <c r="M113" s="5" t="s">
        <v>24</v>
      </c>
      <c r="N113" s="5" t="s">
        <v>28</v>
      </c>
    </row>
    <row r="114" spans="1:14" ht="13">
      <c r="A114" s="5"/>
      <c r="B114" s="5"/>
      <c r="C114" s="5"/>
      <c r="D114" s="5"/>
      <c r="E114" s="5"/>
      <c r="G114" s="5" t="str">
        <f t="shared" si="5"/>
        <v>❌ FAILED: 6.4% - This person has probably not the right Codice Fiscale</v>
      </c>
      <c r="H114" s="6"/>
      <c r="I114" s="5" t="str">
        <f t="shared" si="0"/>
        <v>❌ FAIL - Wrong length (0/16 chars)</v>
      </c>
      <c r="J114" s="5" t="e">
        <f>_xlfn.LET(
  _xlpm.cf, UPPER(E114),
  _xlpm.data, D114,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14" s="5" t="e">
        <f t="shared" si="6"/>
        <v>#VALUE!</v>
      </c>
      <c r="L114" s="5" t="str">
        <f t="shared" si="7"/>
        <v xml:space="preserve">❌ FAIL - 8/50 points (1/6) - Expected: XXXXX, Found: </v>
      </c>
      <c r="M114" s="5" t="s">
        <v>24</v>
      </c>
      <c r="N114" s="5" t="s">
        <v>28</v>
      </c>
    </row>
    <row r="115" spans="1:14" ht="13">
      <c r="A115" s="5"/>
      <c r="B115" s="5"/>
      <c r="C115" s="5"/>
      <c r="D115" s="5"/>
      <c r="E115" s="5"/>
      <c r="G115" s="5" t="str">
        <f t="shared" si="5"/>
        <v>❌ FAILED: 6.4% - This person has probably not the right Codice Fiscale</v>
      </c>
      <c r="H115" s="6"/>
      <c r="I115" s="5" t="str">
        <f t="shared" si="0"/>
        <v>❌ FAIL - Wrong length (0/16 chars)</v>
      </c>
      <c r="J115" s="5" t="e">
        <f>_xlfn.LET(
  _xlpm.cf, UPPER(E115),
  _xlpm.data, D115,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15" s="5" t="e">
        <f t="shared" si="6"/>
        <v>#VALUE!</v>
      </c>
      <c r="L115" s="5" t="str">
        <f t="shared" si="7"/>
        <v xml:space="preserve">❌ FAIL - 8/50 points (1/6) - Expected: XXXXX, Found: </v>
      </c>
      <c r="M115" s="5" t="s">
        <v>24</v>
      </c>
      <c r="N115" s="5" t="s">
        <v>28</v>
      </c>
    </row>
    <row r="116" spans="1:14" ht="13">
      <c r="A116" s="5"/>
      <c r="B116" s="5"/>
      <c r="C116" s="5"/>
      <c r="D116" s="5"/>
      <c r="E116" s="5"/>
      <c r="G116" s="5" t="str">
        <f t="shared" si="5"/>
        <v>❌ FAILED: 6.4% - This person has probably not the right Codice Fiscale</v>
      </c>
      <c r="H116" s="6"/>
      <c r="I116" s="5" t="str">
        <f t="shared" si="0"/>
        <v>❌ FAIL - Wrong length (0/16 chars)</v>
      </c>
      <c r="J116" s="5" t="e">
        <f>_xlfn.LET(
  _xlpm.cf, UPPER(E116),
  _xlpm.data, D116,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16" s="5" t="e">
        <f t="shared" si="6"/>
        <v>#VALUE!</v>
      </c>
      <c r="L116" s="5" t="str">
        <f t="shared" si="7"/>
        <v xml:space="preserve">❌ FAIL - 8/50 points (1/6) - Expected: XXXXX, Found: </v>
      </c>
      <c r="M116" s="5" t="s">
        <v>24</v>
      </c>
      <c r="N116" s="5" t="s">
        <v>28</v>
      </c>
    </row>
    <row r="117" spans="1:14" ht="13">
      <c r="A117" s="5"/>
      <c r="B117" s="5"/>
      <c r="C117" s="5"/>
      <c r="D117" s="5"/>
      <c r="E117" s="5"/>
      <c r="G117" s="5" t="str">
        <f t="shared" si="5"/>
        <v>❌ FAILED: 6.4% - This person has probably not the right Codice Fiscale</v>
      </c>
      <c r="H117" s="6"/>
      <c r="I117" s="5" t="str">
        <f t="shared" si="0"/>
        <v>❌ FAIL - Wrong length (0/16 chars)</v>
      </c>
      <c r="J117" s="5" t="e">
        <f>_xlfn.LET(
  _xlpm.cf, UPPER(E117),
  _xlpm.data, D117,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17" s="5" t="e">
        <f t="shared" si="6"/>
        <v>#VALUE!</v>
      </c>
      <c r="L117" s="5" t="str">
        <f t="shared" si="7"/>
        <v xml:space="preserve">❌ FAIL - 8/50 points (1/6) - Expected: XXXXX, Found: </v>
      </c>
      <c r="M117" s="5" t="s">
        <v>24</v>
      </c>
      <c r="N117" s="5" t="s">
        <v>28</v>
      </c>
    </row>
    <row r="118" spans="1:14" ht="13">
      <c r="A118" s="5"/>
      <c r="B118" s="5"/>
      <c r="C118" s="5"/>
      <c r="D118" s="5"/>
      <c r="E118" s="5"/>
      <c r="G118" s="5" t="str">
        <f t="shared" si="5"/>
        <v>❌ FAILED: 6.4% - This person has probably not the right Codice Fiscale</v>
      </c>
      <c r="H118" s="6"/>
      <c r="I118" s="5" t="str">
        <f t="shared" si="0"/>
        <v>❌ FAIL - Wrong length (0/16 chars)</v>
      </c>
      <c r="J118" s="5" t="e">
        <f>_xlfn.LET(
  _xlpm.cf, UPPER(E118),
  _xlpm.data, D118,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18" s="5" t="e">
        <f t="shared" si="6"/>
        <v>#VALUE!</v>
      </c>
      <c r="L118" s="5" t="str">
        <f t="shared" si="7"/>
        <v xml:space="preserve">❌ FAIL - 8/50 points (1/6) - Expected: XXXXX, Found: </v>
      </c>
      <c r="M118" s="5" t="s">
        <v>24</v>
      </c>
      <c r="N118" s="5" t="s">
        <v>28</v>
      </c>
    </row>
    <row r="119" spans="1:14" ht="13">
      <c r="A119" s="5"/>
      <c r="B119" s="5"/>
      <c r="C119" s="5"/>
      <c r="D119" s="5"/>
      <c r="E119" s="5"/>
      <c r="G119" s="5" t="str">
        <f t="shared" si="5"/>
        <v>❌ FAILED: 6.4% - This person has probably not the right Codice Fiscale</v>
      </c>
      <c r="H119" s="6"/>
      <c r="I119" s="5" t="str">
        <f t="shared" si="0"/>
        <v>❌ FAIL - Wrong length (0/16 chars)</v>
      </c>
      <c r="J119" s="5" t="e">
        <f>_xlfn.LET(
  _xlpm.cf, UPPER(E119),
  _xlpm.data, D119,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19" s="5" t="e">
        <f t="shared" si="6"/>
        <v>#VALUE!</v>
      </c>
      <c r="L119" s="5" t="str">
        <f t="shared" si="7"/>
        <v xml:space="preserve">❌ FAIL - 8/50 points (1/6) - Expected: XXXXX, Found: </v>
      </c>
      <c r="M119" s="5" t="s">
        <v>24</v>
      </c>
      <c r="N119" s="5" t="s">
        <v>28</v>
      </c>
    </row>
    <row r="120" spans="1:14" ht="13">
      <c r="A120" s="5"/>
      <c r="B120" s="5"/>
      <c r="C120" s="5"/>
      <c r="D120" s="5"/>
      <c r="E120" s="5"/>
      <c r="G120" s="5" t="str">
        <f t="shared" si="5"/>
        <v>❌ FAILED: 6.4% - This person has probably not the right Codice Fiscale</v>
      </c>
      <c r="H120" s="6"/>
      <c r="I120" s="5" t="str">
        <f t="shared" si="0"/>
        <v>❌ FAIL - Wrong length (0/16 chars)</v>
      </c>
      <c r="J120" s="5" t="e">
        <f>_xlfn.LET(
  _xlpm.cf, UPPER(E120),
  _xlpm.data, D120,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20" s="5" t="e">
        <f t="shared" si="6"/>
        <v>#VALUE!</v>
      </c>
      <c r="L120" s="5" t="str">
        <f t="shared" si="7"/>
        <v xml:space="preserve">❌ FAIL - 8/50 points (1/6) - Expected: XXXXX, Found: </v>
      </c>
      <c r="M120" s="5" t="s">
        <v>24</v>
      </c>
      <c r="N120" s="5" t="s">
        <v>28</v>
      </c>
    </row>
    <row r="121" spans="1:14" ht="13">
      <c r="A121" s="5"/>
      <c r="B121" s="5"/>
      <c r="C121" s="5"/>
      <c r="D121" s="5"/>
      <c r="E121" s="5"/>
      <c r="G121" s="5" t="str">
        <f t="shared" si="5"/>
        <v>❌ FAILED: 6.4% - This person has probably not the right Codice Fiscale</v>
      </c>
      <c r="H121" s="6"/>
      <c r="I121" s="5" t="str">
        <f t="shared" si="0"/>
        <v>❌ FAIL - Wrong length (0/16 chars)</v>
      </c>
      <c r="J121" s="5" t="e">
        <f>_xlfn.LET(
  _xlpm.cf, UPPER(E121),
  _xlpm.data, D121,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21" s="5" t="e">
        <f t="shared" si="6"/>
        <v>#VALUE!</v>
      </c>
      <c r="L121" s="5" t="str">
        <f t="shared" si="7"/>
        <v xml:space="preserve">❌ FAIL - 8/50 points (1/6) - Expected: XXXXX, Found: </v>
      </c>
      <c r="M121" s="5" t="s">
        <v>24</v>
      </c>
      <c r="N121" s="5" t="s">
        <v>28</v>
      </c>
    </row>
    <row r="122" spans="1:14" ht="13">
      <c r="A122" s="5"/>
      <c r="B122" s="5"/>
      <c r="C122" s="5"/>
      <c r="D122" s="5"/>
      <c r="E122" s="5"/>
      <c r="G122" s="5" t="str">
        <f t="shared" si="5"/>
        <v>❌ FAILED: 6.4% - This person has probably not the right Codice Fiscale</v>
      </c>
      <c r="H122" s="6"/>
      <c r="I122" s="5" t="str">
        <f t="shared" si="0"/>
        <v>❌ FAIL - Wrong length (0/16 chars)</v>
      </c>
      <c r="J122" s="5" t="e">
        <f>_xlfn.LET(
  _xlpm.cf, UPPER(E122),
  _xlpm.data, D122,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22" s="5" t="e">
        <f t="shared" si="6"/>
        <v>#VALUE!</v>
      </c>
      <c r="L122" s="5" t="str">
        <f t="shared" si="7"/>
        <v xml:space="preserve">❌ FAIL - 8/50 points (1/6) - Expected: XXXXX, Found: </v>
      </c>
      <c r="M122" s="5" t="s">
        <v>24</v>
      </c>
      <c r="N122" s="5" t="s">
        <v>28</v>
      </c>
    </row>
    <row r="123" spans="1:14" ht="13">
      <c r="A123" s="5"/>
      <c r="B123" s="5"/>
      <c r="C123" s="5"/>
      <c r="D123" s="5"/>
      <c r="E123" s="5"/>
      <c r="G123" s="5" t="str">
        <f t="shared" si="5"/>
        <v>❌ FAILED: 6.4% - This person has probably not the right Codice Fiscale</v>
      </c>
      <c r="H123" s="6"/>
      <c r="I123" s="5" t="str">
        <f t="shared" si="0"/>
        <v>❌ FAIL - Wrong length (0/16 chars)</v>
      </c>
      <c r="J123" s="5" t="e">
        <f>_xlfn.LET(
  _xlpm.cf, UPPER(E123),
  _xlpm.data, D123,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23" s="5" t="e">
        <f t="shared" si="6"/>
        <v>#VALUE!</v>
      </c>
      <c r="L123" s="5" t="str">
        <f t="shared" si="7"/>
        <v xml:space="preserve">❌ FAIL - 8/50 points (1/6) - Expected: XXXXX, Found: </v>
      </c>
      <c r="M123" s="5" t="s">
        <v>24</v>
      </c>
      <c r="N123" s="5" t="s">
        <v>28</v>
      </c>
    </row>
    <row r="124" spans="1:14" ht="13">
      <c r="A124" s="5"/>
      <c r="B124" s="5"/>
      <c r="C124" s="5"/>
      <c r="D124" s="5"/>
      <c r="E124" s="5"/>
      <c r="G124" s="5" t="str">
        <f t="shared" si="5"/>
        <v>❌ FAILED: 6.4% - This person has probably not the right Codice Fiscale</v>
      </c>
      <c r="H124" s="6"/>
      <c r="I124" s="5" t="str">
        <f t="shared" si="0"/>
        <v>❌ FAIL - Wrong length (0/16 chars)</v>
      </c>
      <c r="J124" s="5" t="e">
        <f>_xlfn.LET(
  _xlpm.cf, UPPER(E124),
  _xlpm.data, D124,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24" s="5" t="e">
        <f t="shared" si="6"/>
        <v>#VALUE!</v>
      </c>
      <c r="L124" s="5" t="str">
        <f t="shared" si="7"/>
        <v xml:space="preserve">❌ FAIL - 8/50 points (1/6) - Expected: XXXXX, Found: </v>
      </c>
      <c r="M124" s="5" t="s">
        <v>24</v>
      </c>
      <c r="N124" s="5" t="s">
        <v>28</v>
      </c>
    </row>
    <row r="125" spans="1:14" ht="13">
      <c r="A125" s="5"/>
      <c r="B125" s="5"/>
      <c r="C125" s="5"/>
      <c r="D125" s="5"/>
      <c r="E125" s="5"/>
      <c r="G125" s="5" t="str">
        <f t="shared" si="5"/>
        <v>❌ FAILED: 6.4% - This person has probably not the right Codice Fiscale</v>
      </c>
      <c r="H125" s="6"/>
      <c r="I125" s="5" t="str">
        <f t="shared" si="0"/>
        <v>❌ FAIL - Wrong length (0/16 chars)</v>
      </c>
      <c r="J125" s="5" t="e">
        <f>_xlfn.LET(
  _xlpm.cf, UPPER(E125),
  _xlpm.data, D125,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25" s="5" t="e">
        <f t="shared" si="6"/>
        <v>#VALUE!</v>
      </c>
      <c r="L125" s="5" t="str">
        <f t="shared" si="7"/>
        <v xml:space="preserve">❌ FAIL - 8/50 points (1/6) - Expected: XXXXX, Found: </v>
      </c>
      <c r="M125" s="5" t="s">
        <v>24</v>
      </c>
      <c r="N125" s="5" t="s">
        <v>28</v>
      </c>
    </row>
    <row r="126" spans="1:14" ht="13">
      <c r="A126" s="5"/>
      <c r="B126" s="5"/>
      <c r="C126" s="5"/>
      <c r="D126" s="5"/>
      <c r="E126" s="5"/>
      <c r="G126" s="5" t="str">
        <f t="shared" si="5"/>
        <v>❌ FAILED: 6.4% - This person has probably not the right Codice Fiscale</v>
      </c>
      <c r="H126" s="6"/>
      <c r="I126" s="5" t="str">
        <f t="shared" si="0"/>
        <v>❌ FAIL - Wrong length (0/16 chars)</v>
      </c>
      <c r="J126" s="5" t="e">
        <f>_xlfn.LET(
  _xlpm.cf, UPPER(E126),
  _xlpm.data, D126,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26" s="5" t="e">
        <f t="shared" si="6"/>
        <v>#VALUE!</v>
      </c>
      <c r="L126" s="5" t="str">
        <f t="shared" si="7"/>
        <v xml:space="preserve">❌ FAIL - 8/50 points (1/6) - Expected: XXXXX, Found: </v>
      </c>
      <c r="M126" s="5" t="s">
        <v>24</v>
      </c>
      <c r="N126" s="5" t="s">
        <v>28</v>
      </c>
    </row>
    <row r="127" spans="1:14" ht="13">
      <c r="A127" s="5"/>
      <c r="B127" s="5"/>
      <c r="C127" s="5"/>
      <c r="D127" s="5"/>
      <c r="E127" s="5"/>
      <c r="G127" s="5" t="str">
        <f t="shared" si="5"/>
        <v>❌ FAILED: 6.4% - This person has probably not the right Codice Fiscale</v>
      </c>
      <c r="H127" s="6"/>
      <c r="I127" s="5" t="str">
        <f t="shared" si="0"/>
        <v>❌ FAIL - Wrong length (0/16 chars)</v>
      </c>
      <c r="J127" s="5" t="e">
        <f>_xlfn.LET(
  _xlpm.cf, UPPER(E127),
  _xlpm.data, D127,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27" s="5" t="e">
        <f t="shared" si="6"/>
        <v>#VALUE!</v>
      </c>
      <c r="L127" s="5" t="str">
        <f t="shared" si="7"/>
        <v xml:space="preserve">❌ FAIL - 8/50 points (1/6) - Expected: XXXXX, Found: </v>
      </c>
      <c r="M127" s="5" t="s">
        <v>24</v>
      </c>
      <c r="N127" s="5" t="s">
        <v>28</v>
      </c>
    </row>
    <row r="128" spans="1:14" ht="13">
      <c r="A128" s="5"/>
      <c r="B128" s="5"/>
      <c r="C128" s="5"/>
      <c r="D128" s="5"/>
      <c r="E128" s="5"/>
      <c r="G128" s="5" t="str">
        <f t="shared" si="5"/>
        <v>❌ FAILED: 6.4% - This person has probably not the right Codice Fiscale</v>
      </c>
      <c r="H128" s="6"/>
      <c r="I128" s="5" t="str">
        <f t="shared" si="0"/>
        <v>❌ FAIL - Wrong length (0/16 chars)</v>
      </c>
      <c r="J128" s="5" t="e">
        <f>_xlfn.LET(
  _xlpm.cf, UPPER(E128),
  _xlpm.data, D128,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28" s="5" t="e">
        <f t="shared" si="6"/>
        <v>#VALUE!</v>
      </c>
      <c r="L128" s="5" t="str">
        <f t="shared" si="7"/>
        <v xml:space="preserve">❌ FAIL - 8/50 points (1/6) - Expected: XXXXX, Found: </v>
      </c>
      <c r="M128" s="5" t="s">
        <v>24</v>
      </c>
      <c r="N128" s="5" t="s">
        <v>28</v>
      </c>
    </row>
    <row r="129" spans="1:14" ht="13">
      <c r="A129" s="5"/>
      <c r="B129" s="5"/>
      <c r="C129" s="5"/>
      <c r="D129" s="5"/>
      <c r="E129" s="5"/>
      <c r="G129" s="5" t="str">
        <f t="shared" si="5"/>
        <v>❌ FAILED: 6.4% - This person has probably not the right Codice Fiscale</v>
      </c>
      <c r="H129" s="6"/>
      <c r="I129" s="5" t="str">
        <f t="shared" si="0"/>
        <v>❌ FAIL - Wrong length (0/16 chars)</v>
      </c>
      <c r="J129" s="5" t="e">
        <f>_xlfn.LET(
  _xlpm.cf, UPPER(E129),
  _xlpm.data, D129,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29" s="5" t="e">
        <f t="shared" si="6"/>
        <v>#VALUE!</v>
      </c>
      <c r="L129" s="5" t="str">
        <f t="shared" si="7"/>
        <v xml:space="preserve">❌ FAIL - 8/50 points (1/6) - Expected: XXXXX, Found: </v>
      </c>
      <c r="M129" s="5" t="s">
        <v>24</v>
      </c>
      <c r="N129" s="5" t="s">
        <v>28</v>
      </c>
    </row>
    <row r="130" spans="1:14" ht="13">
      <c r="A130" s="5"/>
      <c r="B130" s="5"/>
      <c r="C130" s="5"/>
      <c r="D130" s="5"/>
      <c r="E130" s="5"/>
      <c r="G130" s="5" t="str">
        <f t="shared" si="5"/>
        <v>❌ FAILED: 6.4% - This person has probably not the right Codice Fiscale</v>
      </c>
      <c r="H130" s="6"/>
      <c r="I130" s="5" t="str">
        <f t="shared" si="0"/>
        <v>❌ FAIL - Wrong length (0/16 chars)</v>
      </c>
      <c r="J130" s="5" t="e">
        <f>_xlfn.LET(
  _xlpm.cf, UPPER(E130),
  _xlpm.data, D130,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30" s="5" t="e">
        <f t="shared" si="6"/>
        <v>#VALUE!</v>
      </c>
      <c r="L130" s="5" t="str">
        <f t="shared" si="7"/>
        <v xml:space="preserve">❌ FAIL - 8/50 points (1/6) - Expected: XXXXX, Found: </v>
      </c>
      <c r="M130" s="5" t="s">
        <v>24</v>
      </c>
      <c r="N130" s="5" t="s">
        <v>28</v>
      </c>
    </row>
    <row r="131" spans="1:14" ht="13">
      <c r="A131" s="5"/>
      <c r="B131" s="5"/>
      <c r="C131" s="5"/>
      <c r="D131" s="5"/>
      <c r="E131" s="5"/>
      <c r="G131" s="5" t="str">
        <f t="shared" ref="G131:G194" si="8">_xlfn.LET(
  _xlpm.check1_score, IF(ISNUMBER(SEARCH("✅", I131)), 10, 0),
  _xlpm.check2_score, IF(ISNUMBER(SEARCH("✅", J131)), 20, 0),
  _xlpm.check3_score, IF(ISNUMBER(SEARCH("✅", K131)), 10, 0),
  _xlpm.check4_score, IF(ISNUMBER(SEARCH("50/50", L131)), 40, IF(ISNUMBER(SEARCH("/50", L131)), VALUE(MID(L131, SEARCH("- ", L131) + 2, SEARCH("/50", L131) - SEARCH("- ", L131) - 2)) * 0.8, 0)),
  _xlpm.check5_score, IF(ISNUMBER(SEARCH("✅", M131)), 10, 0),
  _xlpm.check6_score, IF(ISNUMBER(SEARCH("✅", N131)), 10, 0),
  _xlpm.total_score,_xlfn.SINGLE( _xlpm.check1_score) +_xlfn.SINGLE( _xlpm.check2_score) +_xlfn.SINGLE( _xlpm.check3_score) +_xlfn.SINGLE( _xlpm.check4_score) +_xlfn.SINGLE( _xlpm.check5_score) +_xlfn.SINGLE( _xlpm.check6_score),
  _xlpm.failed_checks, 6 - (IF(_xlfn.SINGLE(_xlpm.check1_score)&gt;0,1,0) + IF(_xlfn.SINGLE(_xlpm.check2_score)&gt;0,1,0) + IF(_xlfn.SINGLE(_xlpm.check3_score)&gt;0,1,0) + IF(_xlfn.SINGLE(_xlpm.check4_score)&gt;=20,1,0) + IF(_xlfn.SINGLE(_xlpm.check5_score)&gt;0,1,0) + IF(_xlfn.SINGLE(_xlpm.check6_score)&gt;0,1,0)),
  _xlpm.length_fail,_xlfn.SINGLE( _xlpm.check1_score) = 0,
  IF(_xlfn.SINGLE(_xlpm.total_score) = 100,
    "🎯 PERFECT MATCH: 100% - Codice Fiscale is fully valid",
    IF(_xlfn.SINGLE(_xlpm.total_score) &gt;= 90,
      "✅ EXCELLENT: " &amp;_xlfn.SINGLE( _xlpm.total_score) &amp; "% - Very likely valid, minor verification recommended",
      IF(_xlfn.SINGLE(_xlpm.total_score) &gt;= 75,
        IF(AND(_xlfn.SINGLE(_xlpm.failed_checks) = 1, _xlpm.length_fail),
          "⚠️ SCORE: " &amp;_xlfn.SINGLE( _xlpm.total_score) &amp; "% - Check any typo in Codice Fiscale length (should be 16 characters)",
          "⚠️ SCORE: " &amp;_xlfn.SINGLE( _xlpm.total_score) &amp; "% - Not a perfect match, check for any typo"
        ),
        IF(_xlfn.SINGLE(_xlpm.total_score) &gt;= 50,
          "⚠️ SCORE: " &amp;_xlfn.SINGLE( _xlpm.total_score) &amp; "% - Significant issues detected, verify all data carefully",
          "❌ FAILED: " &amp;_xlfn.SINGLE( _xlpm.total_score) &amp; "% - This person has probably not the right Codice Fiscale"
        )
      )
    )
  )
)</f>
        <v>❌ FAILED: 6.4% - This person has probably not the right Codice Fiscale</v>
      </c>
      <c r="H131" s="6"/>
      <c r="I131" s="5" t="str">
        <f t="shared" si="0"/>
        <v>❌ FAIL - Wrong length (0/16 chars)</v>
      </c>
      <c r="J131" s="5" t="e">
        <f>_xlfn.LET(
  _xlpm.cf, UPPER(E131),
  _xlpm.data, D131,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31" s="5" t="e">
        <f t="shared" ref="K131:K194" si="9">_xlfn.LET(
  _xlpm.cf, UPPER(E131),
  _xlpm.gender_input, UPPER(C131),
  _xlpm.day_cf, VALUE(MID(_xlpm.cf, 10, 2)),
  _xlpm.cf_indicates_female, _xlpm.day_cf &gt; 40,
  _xlpm.input_is_female, _xlpm.gender_input = "FEMALE",
  _xlpm.gender_match, _xlpm.cf_indicates_female = _xlpm.input_is_female,
  IF(
    _xlpm.gender_match,
    "✅ PASS - Gender: " &amp; IF(_xlpm.input_is_female, "Female", "Male") &amp; " (day: " &amp; IF(_xlpm.cf_indicates_female, _xlpm.day_cf-40, _xlpm.day_cf) &amp; ")",
    "❌ FAIL - Gender mismatch: CF indicates " &amp;
      IF(_xlpm.cf_indicates_female, "Female (+40)", "Male") &amp;
      " (day: " &amp; IF(_xlpm.cf_indicates_female, _xlpm.day_cf-40, _xlpm.day_cf) &amp; ") but person is " &amp;
      IF(_xlpm.input_is_female, "Female", "Male")
  )
)</f>
        <v>#VALUE!</v>
      </c>
      <c r="L131" s="5" t="str">
        <f t="shared" si="7"/>
        <v xml:space="preserve">❌ FAIL - 8/50 points (1/6) - Expected: XXXXX, Found: </v>
      </c>
      <c r="M131" s="5" t="s">
        <v>24</v>
      </c>
      <c r="N131" s="5" t="s">
        <v>28</v>
      </c>
    </row>
    <row r="132" spans="1:14" ht="13">
      <c r="A132" s="5"/>
      <c r="B132" s="5"/>
      <c r="C132" s="5"/>
      <c r="D132" s="5"/>
      <c r="E132" s="5"/>
      <c r="G132" s="5" t="str">
        <f t="shared" si="8"/>
        <v>❌ FAILED: 6.4% - This person has probably not the right Codice Fiscale</v>
      </c>
      <c r="H132" s="6"/>
      <c r="I132" s="5" t="str">
        <f t="shared" si="0"/>
        <v>❌ FAIL - Wrong length (0/16 chars)</v>
      </c>
      <c r="J132" s="5" t="e">
        <f>_xlfn.LET(
  _xlpm.cf, UPPER(E132),
  _xlpm.data, D132,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32" s="5" t="e">
        <f t="shared" si="9"/>
        <v>#VALUE!</v>
      </c>
      <c r="L132" s="5" t="str">
        <f t="shared" si="7"/>
        <v xml:space="preserve">❌ FAIL - 8/50 points (1/6) - Expected: XXXXX, Found: </v>
      </c>
      <c r="M132" s="5" t="s">
        <v>24</v>
      </c>
      <c r="N132" s="5" t="s">
        <v>28</v>
      </c>
    </row>
    <row r="133" spans="1:14" ht="13">
      <c r="A133" s="5"/>
      <c r="B133" s="5"/>
      <c r="C133" s="5"/>
      <c r="D133" s="5"/>
      <c r="E133" s="5"/>
      <c r="G133" s="5" t="str">
        <f t="shared" si="8"/>
        <v>❌ FAILED: 6.4% - This person has probably not the right Codice Fiscale</v>
      </c>
      <c r="H133" s="6"/>
      <c r="I133" s="5" t="str">
        <f t="shared" si="0"/>
        <v>❌ FAIL - Wrong length (0/16 chars)</v>
      </c>
      <c r="J133" s="5" t="e">
        <f>_xlfn.LET(
  _xlpm.cf, UPPER(E133),
  _xlpm.data, D133,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33" s="5" t="e">
        <f t="shared" si="9"/>
        <v>#VALUE!</v>
      </c>
      <c r="L133" s="5" t="str">
        <f t="shared" ref="L133:L196" si="10">_xlfn.LET(
  _xlpm.cf_code, LEFT(UPPER(E133), 6),
  _xlpm.surname, UPPER(B133),
  _xlpm.name_clean, SUBSTITUTE(UPPER(A133), " ", ""),
  _xlpm.s_cons, SUBSTITUTE(SUBSTITUTE(SUBSTITUTE(SUBSTITUTE(SUBSTITUTE(_xlfn.SINGLE(_xlpm.surname), "A", ""), "E", ""), "I", ""), "O", ""), "U", ""),
  _xlpm.s_vowels, SUBSTITUTE(SUBSTITUTE(SUBSTITUTE(SUBSTITUTE(SUBSTITUTE(SUBSTITUTE(SUBSTITUTE(SUBSTITUTE(SUBSTITUTE(SUBSTITUTE(SUBSTITUTE(SUBSTITUTE(SUBSTITUTE(SUBSTITUTE(SUBSTITUTE(SUBSTITUTE(SUBSTITUTE(SUBSTITUTE(SUBSTITUTE(SUBSTITUTE(SUBSTITUTE(_xlfn.SINGLE(_xlpm.surname), "B", ""), "C", ""), "D", ""), "F", ""), "G", ""), "H", ""), "J", ""), "K", ""), "L", ""), "M", ""), "N", ""), "P", ""), "Q", ""), "R", ""), "S", ""), "T", ""), "V", ""), "W", ""), "X", ""), "Y", ""), "Z", ""),
  _xlpm.n_cons, SUBSTITUTE(SUBSTITUTE(SUBSTITUTE(SUBSTITUTE(SUBSTITUTE(_xlfn.SINGLE(_xlpm.name_clean), "A", ""), "E", ""), "I", ""), "O", ""), "U", ""),
  _xlpm.n_vowels, SUBSTITUTE(SUBSTITUTE(SUBSTITUTE(SUBSTITUTE(SUBSTITUTE(SUBSTITUTE(SUBSTITUTE(SUBSTITUTE(SUBSTITUTE(SUBSTITUTE(SUBSTITUTE(SUBSTITUTE(SUBSTITUTE(SUBSTITUTE(SUBSTITUTE(SUBSTITUTE(SUBSTITUTE(SUBSTITUTE(SUBSTITUTE(SUBSTITUTE(SUBSTITUTE(_xlfn.SINGLE(_xlpm.name_clean), "B", ""), "C", ""), "D", ""), "F", ""), "G", ""), "H", ""), "J", ""), "K", ""), "L", ""), "M", ""), "N", ""), "P", ""), "Q", ""), "R", ""), "S", ""), "T", ""), "V", ""), "W", ""), "X", ""), "Y", ""), "Z", ""),
  _xlpm.surname_code, IF(LEN(_xlfn.SINGLE(_xlpm.s_cons)) &gt;= 3, LEFT(_xlfn.SINGLE(_xlpm.s_cons), 3), IF(LEN(_xlfn.SINGLE(_xlpm.s_cons)) = 2,_xlfn.SINGLE( _xlpm.s_cons) &amp; LEFT(_xlfn.SINGLE(_xlpm.s_vowels), 1), IF(LEN(_xlfn.SINGLE(_xlpm.s_cons)) = 1, LEFT(_xlfn.SINGLE(_xlpm.s_cons) &amp;_xlfn.SINGLE( _xlpm.s_vowels) &amp; "XX", 3), LEFT(_xlfn.SINGLE(_xlpm.s_vowels) &amp; "XX", 3)))),
  _xlpm.name_code, IF(LEN(_xlfn.SINGLE(_xlpm.n_cons)) &gt;= 4,
    MID(_xlfn.SINGLE(_xlpm.n_cons),1,1) &amp; MID(_xlfn.SINGLE(_xlpm.n_cons),3,1) &amp; MID(_xlfn.SINGLE(_xlpm.n_cons),4,1),
    IF(LEN(_xlfn.SINGLE(_xlpm.n_cons)) = 3,
      LEFT(_xlfn.SINGLE(_xlpm.n_cons), 3),
      LEFT(_xlfn.SINGLE(_xlpm.n_cons) &amp;_xlfn.SINGLE( _xlpm.n_vowels) &amp; "XXX", 3)
    )
  ),
  _xlpm.expected,_xlfn.SINGLE( _xlpm.surname_code) &amp;_xlfn.SINGLE( _xlpm.name_code),
  _xlpm.matches, (IF(MID(_xlfn.SINGLE(_xlpm.expected),1,1)=MID(_xlfn.SINGLE(_xlpm.cf_code),1,1),1,0))+(IF(MID(_xlfn.SINGLE(_xlpm.expected),2,1)=MID(_xlfn.SINGLE(_xlpm.cf_code),2,1),1,0))+(IF(MID(_xlfn.SINGLE(_xlpm.expected),3,1)=MID(_xlfn.SINGLE(_xlpm.cf_code),3,1),1,0))+(IF(MID(_xlfn.SINGLE(_xlpm.expected),4,1)=MID(_xlfn.SINGLE(_xlpm.cf_code),4,1),1,0))+(IF(MID(_xlfn.SINGLE(_xlpm.expected),5,1)=MID(_xlfn.SINGLE(_xlpm.cf_code),5,1),1,0))+(IF(MID(_xlfn.SINGLE(_xlpm.expected),6,1)=MID(_xlfn.SINGLE(_xlpm.cf_code),6,1),1,0)),
  IF(_xlfn.SINGLE(_xlpm.matches)=6, "✅ PASS - 50/50 points", "❌ FAIL - " &amp; ROUND(_xlfn.SINGLE(_xlpm.matches)/6*50,0) &amp; "/50 points (" &amp;_xlfn.SINGLE( _xlpm.matches) &amp; "/6) - Expected: " &amp;_xlfn.SINGLE( _xlpm.expected) &amp; ", Found: " &amp;_xlfn.SINGLE( _xlpm.cf_code))
)</f>
        <v xml:space="preserve">❌ FAIL - 8/50 points (1/6) - Expected: XXXXX, Found: </v>
      </c>
      <c r="M133" s="5" t="s">
        <v>24</v>
      </c>
      <c r="N133" s="5" t="s">
        <v>28</v>
      </c>
    </row>
    <row r="134" spans="1:14" ht="13">
      <c r="A134" s="5"/>
      <c r="B134" s="5"/>
      <c r="C134" s="5"/>
      <c r="D134" s="5"/>
      <c r="E134" s="5"/>
      <c r="G134" s="5" t="str">
        <f t="shared" si="8"/>
        <v>❌ FAILED: 6.4% - This person has probably not the right Codice Fiscale</v>
      </c>
      <c r="H134" s="6"/>
      <c r="I134" s="5" t="str">
        <f t="shared" si="0"/>
        <v>❌ FAIL - Wrong length (0/16 chars)</v>
      </c>
      <c r="J134" s="5" t="e">
        <f>_xlfn.LET(
  _xlpm.cf, UPPER(E134),
  _xlpm.data, D134,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34" s="5" t="e">
        <f t="shared" si="9"/>
        <v>#VALUE!</v>
      </c>
      <c r="L134" s="5" t="str">
        <f t="shared" si="10"/>
        <v xml:space="preserve">❌ FAIL - 8/50 points (1/6) - Expected: XXXXX, Found: </v>
      </c>
      <c r="M134" s="5" t="s">
        <v>24</v>
      </c>
      <c r="N134" s="5" t="s">
        <v>28</v>
      </c>
    </row>
    <row r="135" spans="1:14" ht="13">
      <c r="A135" s="5"/>
      <c r="B135" s="5"/>
      <c r="C135" s="5"/>
      <c r="D135" s="5"/>
      <c r="E135" s="5"/>
      <c r="G135" s="5" t="str">
        <f t="shared" si="8"/>
        <v>❌ FAILED: 6.4% - This person has probably not the right Codice Fiscale</v>
      </c>
      <c r="H135" s="6"/>
      <c r="I135" s="5" t="str">
        <f t="shared" si="0"/>
        <v>❌ FAIL - Wrong length (0/16 chars)</v>
      </c>
      <c r="J135" s="5" t="e">
        <f>_xlfn.LET(
  _xlpm.cf, UPPER(E135),
  _xlpm.data, D135,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35" s="5" t="e">
        <f t="shared" si="9"/>
        <v>#VALUE!</v>
      </c>
      <c r="L135" s="5" t="str">
        <f t="shared" si="10"/>
        <v xml:space="preserve">❌ FAIL - 8/50 points (1/6) - Expected: XXXXX, Found: </v>
      </c>
      <c r="M135" s="5" t="s">
        <v>24</v>
      </c>
      <c r="N135" s="5" t="s">
        <v>28</v>
      </c>
    </row>
    <row r="136" spans="1:14" ht="13">
      <c r="A136" s="5"/>
      <c r="B136" s="5"/>
      <c r="C136" s="5"/>
      <c r="D136" s="5"/>
      <c r="E136" s="5"/>
      <c r="G136" s="5" t="str">
        <f t="shared" si="8"/>
        <v>❌ FAILED: 6.4% - This person has probably not the right Codice Fiscale</v>
      </c>
      <c r="H136" s="6"/>
      <c r="I136" s="5" t="str">
        <f t="shared" si="0"/>
        <v>❌ FAIL - Wrong length (0/16 chars)</v>
      </c>
      <c r="J136" s="5" t="e">
        <f>_xlfn.LET(
  _xlpm.cf, UPPER(E136),
  _xlpm.data, D136,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36" s="5" t="e">
        <f t="shared" si="9"/>
        <v>#VALUE!</v>
      </c>
      <c r="L136" s="5" t="str">
        <f t="shared" si="10"/>
        <v xml:space="preserve">❌ FAIL - 8/50 points (1/6) - Expected: XXXXX, Found: </v>
      </c>
      <c r="M136" s="5" t="s">
        <v>24</v>
      </c>
      <c r="N136" s="5" t="s">
        <v>28</v>
      </c>
    </row>
    <row r="137" spans="1:14" ht="13">
      <c r="A137" s="5"/>
      <c r="B137" s="5"/>
      <c r="C137" s="5"/>
      <c r="D137" s="5"/>
      <c r="E137" s="5"/>
      <c r="G137" s="5" t="str">
        <f t="shared" si="8"/>
        <v>❌ FAILED: 6.4% - This person has probably not the right Codice Fiscale</v>
      </c>
      <c r="H137" s="6"/>
      <c r="I137" s="5" t="str">
        <f t="shared" si="0"/>
        <v>❌ FAIL - Wrong length (0/16 chars)</v>
      </c>
      <c r="J137" s="5" t="e">
        <f>_xlfn.LET(
  _xlpm.cf, UPPER(E137),
  _xlpm.data, D137,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37" s="5" t="e">
        <f t="shared" si="9"/>
        <v>#VALUE!</v>
      </c>
      <c r="L137" s="5" t="str">
        <f t="shared" si="10"/>
        <v xml:space="preserve">❌ FAIL - 8/50 points (1/6) - Expected: XXXXX, Found: </v>
      </c>
      <c r="M137" s="5" t="s">
        <v>24</v>
      </c>
      <c r="N137" s="5" t="s">
        <v>28</v>
      </c>
    </row>
    <row r="138" spans="1:14" ht="13">
      <c r="A138" s="5"/>
      <c r="B138" s="5"/>
      <c r="C138" s="5"/>
      <c r="D138" s="5"/>
      <c r="E138" s="5"/>
      <c r="G138" s="5" t="str">
        <f t="shared" si="8"/>
        <v>❌ FAILED: 6.4% - This person has probably not the right Codice Fiscale</v>
      </c>
      <c r="H138" s="6"/>
      <c r="I138" s="5" t="str">
        <f t="shared" si="0"/>
        <v>❌ FAIL - Wrong length (0/16 chars)</v>
      </c>
      <c r="J138" s="5" t="e">
        <f>_xlfn.LET(
  _xlpm.cf, UPPER(E138),
  _xlpm.data, D138,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38" s="5" t="e">
        <f t="shared" si="9"/>
        <v>#VALUE!</v>
      </c>
      <c r="L138" s="5" t="str">
        <f t="shared" si="10"/>
        <v xml:space="preserve">❌ FAIL - 8/50 points (1/6) - Expected: XXXXX, Found: </v>
      </c>
      <c r="M138" s="5" t="s">
        <v>24</v>
      </c>
      <c r="N138" s="5" t="s">
        <v>28</v>
      </c>
    </row>
    <row r="139" spans="1:14" ht="13">
      <c r="A139" s="5"/>
      <c r="B139" s="5"/>
      <c r="C139" s="5"/>
      <c r="D139" s="5"/>
      <c r="E139" s="5"/>
      <c r="G139" s="5" t="str">
        <f t="shared" si="8"/>
        <v>❌ FAILED: 6.4% - This person has probably not the right Codice Fiscale</v>
      </c>
      <c r="H139" s="6"/>
      <c r="I139" s="5" t="str">
        <f t="shared" si="0"/>
        <v>❌ FAIL - Wrong length (0/16 chars)</v>
      </c>
      <c r="J139" s="5" t="e">
        <f>_xlfn.LET(
  _xlpm.cf, UPPER(E139),
  _xlpm.data, D139,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39" s="5" t="e">
        <f t="shared" si="9"/>
        <v>#VALUE!</v>
      </c>
      <c r="L139" s="5" t="str">
        <f t="shared" si="10"/>
        <v xml:space="preserve">❌ FAIL - 8/50 points (1/6) - Expected: XXXXX, Found: </v>
      </c>
      <c r="M139" s="5" t="s">
        <v>24</v>
      </c>
      <c r="N139" s="5" t="s">
        <v>28</v>
      </c>
    </row>
    <row r="140" spans="1:14" ht="13">
      <c r="A140" s="5"/>
      <c r="B140" s="5"/>
      <c r="C140" s="5"/>
      <c r="D140" s="5"/>
      <c r="E140" s="5"/>
      <c r="G140" s="5" t="str">
        <f t="shared" si="8"/>
        <v>❌ FAILED: 6.4% - This person has probably not the right Codice Fiscale</v>
      </c>
      <c r="H140" s="6"/>
      <c r="I140" s="5" t="str">
        <f t="shared" si="0"/>
        <v>❌ FAIL - Wrong length (0/16 chars)</v>
      </c>
      <c r="J140" s="5" t="e">
        <f>_xlfn.LET(
  _xlpm.cf, UPPER(E140),
  _xlpm.data, D140,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40" s="5" t="e">
        <f t="shared" si="9"/>
        <v>#VALUE!</v>
      </c>
      <c r="L140" s="5" t="str">
        <f t="shared" si="10"/>
        <v xml:space="preserve">❌ FAIL - 8/50 points (1/6) - Expected: XXXXX, Found: </v>
      </c>
      <c r="M140" s="5" t="s">
        <v>24</v>
      </c>
      <c r="N140" s="5" t="s">
        <v>28</v>
      </c>
    </row>
    <row r="141" spans="1:14" ht="13">
      <c r="A141" s="5"/>
      <c r="B141" s="5"/>
      <c r="C141" s="5"/>
      <c r="D141" s="5"/>
      <c r="E141" s="5"/>
      <c r="G141" s="5" t="str">
        <f t="shared" si="8"/>
        <v>❌ FAILED: 6.4% - This person has probably not the right Codice Fiscale</v>
      </c>
      <c r="H141" s="6"/>
      <c r="I141" s="5" t="str">
        <f t="shared" si="0"/>
        <v>❌ FAIL - Wrong length (0/16 chars)</v>
      </c>
      <c r="J141" s="5" t="e">
        <f>_xlfn.LET(
  _xlpm.cf, UPPER(E141),
  _xlpm.data, D141,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41" s="5" t="e">
        <f t="shared" si="9"/>
        <v>#VALUE!</v>
      </c>
      <c r="L141" s="5" t="str">
        <f t="shared" si="10"/>
        <v xml:space="preserve">❌ FAIL - 8/50 points (1/6) - Expected: XXXXX, Found: </v>
      </c>
      <c r="M141" s="5" t="s">
        <v>24</v>
      </c>
      <c r="N141" s="5" t="s">
        <v>28</v>
      </c>
    </row>
    <row r="142" spans="1:14" ht="13">
      <c r="A142" s="5"/>
      <c r="B142" s="5"/>
      <c r="C142" s="5"/>
      <c r="D142" s="5"/>
      <c r="E142" s="5"/>
      <c r="G142" s="5" t="str">
        <f t="shared" si="8"/>
        <v>❌ FAILED: 6.4% - This person has probably not the right Codice Fiscale</v>
      </c>
      <c r="H142" s="6"/>
      <c r="I142" s="5" t="str">
        <f t="shared" si="0"/>
        <v>❌ FAIL - Wrong length (0/16 chars)</v>
      </c>
      <c r="J142" s="5" t="e">
        <f>_xlfn.LET(
  _xlpm.cf, UPPER(E142),
  _xlpm.data, D142,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42" s="5" t="e">
        <f t="shared" si="9"/>
        <v>#VALUE!</v>
      </c>
      <c r="L142" s="5" t="str">
        <f t="shared" si="10"/>
        <v xml:space="preserve">❌ FAIL - 8/50 points (1/6) - Expected: XXXXX, Found: </v>
      </c>
      <c r="M142" s="5" t="s">
        <v>24</v>
      </c>
      <c r="N142" s="5" t="s">
        <v>28</v>
      </c>
    </row>
    <row r="143" spans="1:14" ht="13">
      <c r="A143" s="5"/>
      <c r="B143" s="5"/>
      <c r="C143" s="5"/>
      <c r="D143" s="5"/>
      <c r="E143" s="5"/>
      <c r="G143" s="5" t="str">
        <f t="shared" si="8"/>
        <v>❌ FAILED: 6.4% - This person has probably not the right Codice Fiscale</v>
      </c>
      <c r="H143" s="6"/>
      <c r="I143" s="5" t="str">
        <f t="shared" si="0"/>
        <v>❌ FAIL - Wrong length (0/16 chars)</v>
      </c>
      <c r="J143" s="5" t="e">
        <f>_xlfn.LET(
  _xlpm.cf, UPPER(E143),
  _xlpm.data, D143,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43" s="5" t="e">
        <f t="shared" si="9"/>
        <v>#VALUE!</v>
      </c>
      <c r="L143" s="5" t="str">
        <f t="shared" si="10"/>
        <v xml:space="preserve">❌ FAIL - 8/50 points (1/6) - Expected: XXXXX, Found: </v>
      </c>
      <c r="M143" s="5" t="s">
        <v>24</v>
      </c>
      <c r="N143" s="5" t="s">
        <v>28</v>
      </c>
    </row>
    <row r="144" spans="1:14" ht="13">
      <c r="A144" s="5"/>
      <c r="B144" s="5"/>
      <c r="C144" s="5"/>
      <c r="D144" s="5"/>
      <c r="E144" s="5"/>
      <c r="G144" s="5" t="str">
        <f t="shared" si="8"/>
        <v>❌ FAILED: 6.4% - This person has probably not the right Codice Fiscale</v>
      </c>
      <c r="H144" s="6"/>
      <c r="I144" s="5" t="str">
        <f t="shared" si="0"/>
        <v>❌ FAIL - Wrong length (0/16 chars)</v>
      </c>
      <c r="J144" s="5" t="e">
        <f>_xlfn.LET(
  _xlpm.cf, UPPER(E144),
  _xlpm.data, D144,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44" s="5" t="e">
        <f t="shared" si="9"/>
        <v>#VALUE!</v>
      </c>
      <c r="L144" s="5" t="str">
        <f t="shared" si="10"/>
        <v xml:space="preserve">❌ FAIL - 8/50 points (1/6) - Expected: XXXXX, Found: </v>
      </c>
      <c r="M144" s="5" t="s">
        <v>24</v>
      </c>
      <c r="N144" s="5" t="s">
        <v>28</v>
      </c>
    </row>
    <row r="145" spans="1:14" ht="13">
      <c r="A145" s="5"/>
      <c r="B145" s="5"/>
      <c r="C145" s="5"/>
      <c r="D145" s="5"/>
      <c r="E145" s="5"/>
      <c r="G145" s="5" t="str">
        <f t="shared" si="8"/>
        <v>❌ FAILED: 6.4% - This person has probably not the right Codice Fiscale</v>
      </c>
      <c r="H145" s="6"/>
      <c r="I145" s="5" t="str">
        <f t="shared" si="0"/>
        <v>❌ FAIL - Wrong length (0/16 chars)</v>
      </c>
      <c r="J145" s="5" t="e">
        <f>_xlfn.LET(
  _xlpm.cf, UPPER(E145),
  _xlpm.data, D145,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45" s="5" t="e">
        <f t="shared" si="9"/>
        <v>#VALUE!</v>
      </c>
      <c r="L145" s="5" t="str">
        <f t="shared" si="10"/>
        <v xml:space="preserve">❌ FAIL - 8/50 points (1/6) - Expected: XXXXX, Found: </v>
      </c>
      <c r="M145" s="5" t="s">
        <v>24</v>
      </c>
      <c r="N145" s="5" t="s">
        <v>28</v>
      </c>
    </row>
    <row r="146" spans="1:14" ht="13">
      <c r="A146" s="5"/>
      <c r="B146" s="5"/>
      <c r="C146" s="5"/>
      <c r="D146" s="5"/>
      <c r="E146" s="5"/>
      <c r="G146" s="5" t="str">
        <f t="shared" si="8"/>
        <v>❌ FAILED: 6.4% - This person has probably not the right Codice Fiscale</v>
      </c>
      <c r="H146" s="6"/>
      <c r="I146" s="5" t="str">
        <f t="shared" si="0"/>
        <v>❌ FAIL - Wrong length (0/16 chars)</v>
      </c>
      <c r="J146" s="5" t="e">
        <f>_xlfn.LET(
  _xlpm.cf, UPPER(E146),
  _xlpm.data, D146,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46" s="5" t="e">
        <f t="shared" si="9"/>
        <v>#VALUE!</v>
      </c>
      <c r="L146" s="5" t="str">
        <f t="shared" si="10"/>
        <v xml:space="preserve">❌ FAIL - 8/50 points (1/6) - Expected: XXXXX, Found: </v>
      </c>
      <c r="M146" s="5" t="s">
        <v>24</v>
      </c>
      <c r="N146" s="5" t="s">
        <v>28</v>
      </c>
    </row>
    <row r="147" spans="1:14" ht="13">
      <c r="A147" s="5"/>
      <c r="B147" s="5"/>
      <c r="C147" s="5"/>
      <c r="D147" s="5"/>
      <c r="E147" s="5"/>
      <c r="G147" s="5" t="str">
        <f t="shared" si="8"/>
        <v>❌ FAILED: 6.4% - This person has probably not the right Codice Fiscale</v>
      </c>
      <c r="H147" s="6"/>
      <c r="I147" s="5" t="str">
        <f t="shared" si="0"/>
        <v>❌ FAIL - Wrong length (0/16 chars)</v>
      </c>
      <c r="J147" s="5" t="e">
        <f>_xlfn.LET(
  _xlpm.cf, UPPER(E147),
  _xlpm.data, D147,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47" s="5" t="e">
        <f t="shared" si="9"/>
        <v>#VALUE!</v>
      </c>
      <c r="L147" s="5" t="str">
        <f t="shared" si="10"/>
        <v xml:space="preserve">❌ FAIL - 8/50 points (1/6) - Expected: XXXXX, Found: </v>
      </c>
      <c r="M147" s="5" t="s">
        <v>24</v>
      </c>
      <c r="N147" s="5" t="s">
        <v>28</v>
      </c>
    </row>
    <row r="148" spans="1:14" ht="13">
      <c r="A148" s="5"/>
      <c r="B148" s="5"/>
      <c r="C148" s="5"/>
      <c r="D148" s="5"/>
      <c r="E148" s="5"/>
      <c r="G148" s="5" t="str">
        <f t="shared" si="8"/>
        <v>❌ FAILED: 6.4% - This person has probably not the right Codice Fiscale</v>
      </c>
      <c r="H148" s="6"/>
      <c r="I148" s="5" t="str">
        <f t="shared" si="0"/>
        <v>❌ FAIL - Wrong length (0/16 chars)</v>
      </c>
      <c r="J148" s="5" t="e">
        <f>_xlfn.LET(
  _xlpm.cf, UPPER(E148),
  _xlpm.data, D148,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48" s="5" t="e">
        <f t="shared" si="9"/>
        <v>#VALUE!</v>
      </c>
      <c r="L148" s="5" t="str">
        <f t="shared" si="10"/>
        <v xml:space="preserve">❌ FAIL - 8/50 points (1/6) - Expected: XXXXX, Found: </v>
      </c>
      <c r="M148" s="5" t="s">
        <v>24</v>
      </c>
      <c r="N148" s="5" t="s">
        <v>28</v>
      </c>
    </row>
    <row r="149" spans="1:14" ht="13">
      <c r="A149" s="5"/>
      <c r="B149" s="5"/>
      <c r="C149" s="5"/>
      <c r="D149" s="5"/>
      <c r="E149" s="5"/>
      <c r="G149" s="5" t="str">
        <f t="shared" si="8"/>
        <v>❌ FAILED: 6.4% - This person has probably not the right Codice Fiscale</v>
      </c>
      <c r="H149" s="6"/>
      <c r="I149" s="5" t="str">
        <f t="shared" si="0"/>
        <v>❌ FAIL - Wrong length (0/16 chars)</v>
      </c>
      <c r="J149" s="5" t="e">
        <f>_xlfn.LET(
  _xlpm.cf, UPPER(E149),
  _xlpm.data, D149,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49" s="5" t="e">
        <f t="shared" si="9"/>
        <v>#VALUE!</v>
      </c>
      <c r="L149" s="5" t="str">
        <f t="shared" si="10"/>
        <v xml:space="preserve">❌ FAIL - 8/50 points (1/6) - Expected: XXXXX, Found: </v>
      </c>
      <c r="M149" s="5" t="s">
        <v>24</v>
      </c>
      <c r="N149" s="5" t="s">
        <v>28</v>
      </c>
    </row>
    <row r="150" spans="1:14" ht="13">
      <c r="A150" s="5"/>
      <c r="B150" s="5"/>
      <c r="C150" s="5"/>
      <c r="D150" s="5"/>
      <c r="E150" s="5"/>
      <c r="G150" s="5" t="str">
        <f t="shared" si="8"/>
        <v>❌ FAILED: 6.4% - This person has probably not the right Codice Fiscale</v>
      </c>
      <c r="H150" s="6"/>
      <c r="I150" s="5" t="str">
        <f t="shared" si="0"/>
        <v>❌ FAIL - Wrong length (0/16 chars)</v>
      </c>
      <c r="J150" s="5" t="e">
        <f>_xlfn.LET(
  _xlpm.cf, UPPER(E150),
  _xlpm.data, D150,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50" s="5" t="e">
        <f t="shared" si="9"/>
        <v>#VALUE!</v>
      </c>
      <c r="L150" s="5" t="str">
        <f t="shared" si="10"/>
        <v xml:space="preserve">❌ FAIL - 8/50 points (1/6) - Expected: XXXXX, Found: </v>
      </c>
      <c r="M150" s="5" t="s">
        <v>24</v>
      </c>
      <c r="N150" s="5" t="s">
        <v>28</v>
      </c>
    </row>
    <row r="151" spans="1:14" ht="13">
      <c r="A151" s="5"/>
      <c r="B151" s="5"/>
      <c r="C151" s="5"/>
      <c r="D151" s="5"/>
      <c r="E151" s="5"/>
      <c r="G151" s="5" t="str">
        <f t="shared" si="8"/>
        <v>❌ FAILED: 6.4% - This person has probably not the right Codice Fiscale</v>
      </c>
      <c r="H151" s="6"/>
      <c r="I151" s="5" t="str">
        <f t="shared" si="0"/>
        <v>❌ FAIL - Wrong length (0/16 chars)</v>
      </c>
      <c r="J151" s="5" t="e">
        <f>_xlfn.LET(
  _xlpm.cf, UPPER(E151),
  _xlpm.data, D151,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51" s="5" t="e">
        <f t="shared" si="9"/>
        <v>#VALUE!</v>
      </c>
      <c r="L151" s="5" t="str">
        <f t="shared" si="10"/>
        <v xml:space="preserve">❌ FAIL - 8/50 points (1/6) - Expected: XXXXX, Found: </v>
      </c>
      <c r="M151" s="5" t="s">
        <v>24</v>
      </c>
      <c r="N151" s="5" t="s">
        <v>28</v>
      </c>
    </row>
    <row r="152" spans="1:14" ht="13">
      <c r="A152" s="5"/>
      <c r="B152" s="5"/>
      <c r="C152" s="5"/>
      <c r="D152" s="5"/>
      <c r="E152" s="5"/>
      <c r="G152" s="5" t="str">
        <f t="shared" si="8"/>
        <v>❌ FAILED: 6.4% - This person has probably not the right Codice Fiscale</v>
      </c>
      <c r="H152" s="6"/>
      <c r="I152" s="5" t="str">
        <f t="shared" si="0"/>
        <v>❌ FAIL - Wrong length (0/16 chars)</v>
      </c>
      <c r="J152" s="5" t="e">
        <f>_xlfn.LET(
  _xlpm.cf, UPPER(E152),
  _xlpm.data, D152,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52" s="5" t="e">
        <f t="shared" si="9"/>
        <v>#VALUE!</v>
      </c>
      <c r="L152" s="5" t="str">
        <f t="shared" si="10"/>
        <v xml:space="preserve">❌ FAIL - 8/50 points (1/6) - Expected: XXXXX, Found: </v>
      </c>
      <c r="M152" s="5" t="s">
        <v>24</v>
      </c>
      <c r="N152" s="5" t="s">
        <v>28</v>
      </c>
    </row>
    <row r="153" spans="1:14" ht="13">
      <c r="A153" s="5"/>
      <c r="B153" s="5"/>
      <c r="C153" s="5"/>
      <c r="D153" s="5"/>
      <c r="E153" s="5"/>
      <c r="G153" s="5" t="str">
        <f t="shared" si="8"/>
        <v>❌ FAILED: 6.4% - This person has probably not the right Codice Fiscale</v>
      </c>
      <c r="H153" s="6"/>
      <c r="I153" s="5" t="str">
        <f t="shared" si="0"/>
        <v>❌ FAIL - Wrong length (0/16 chars)</v>
      </c>
      <c r="J153" s="5" t="e">
        <f>_xlfn.LET(
  _xlpm.cf, UPPER(E153),
  _xlpm.data, D153,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53" s="5" t="e">
        <f t="shared" si="9"/>
        <v>#VALUE!</v>
      </c>
      <c r="L153" s="5" t="str">
        <f t="shared" si="10"/>
        <v xml:space="preserve">❌ FAIL - 8/50 points (1/6) - Expected: XXXXX, Found: </v>
      </c>
      <c r="M153" s="5" t="s">
        <v>24</v>
      </c>
      <c r="N153" s="5" t="s">
        <v>28</v>
      </c>
    </row>
    <row r="154" spans="1:14" ht="13">
      <c r="A154" s="5"/>
      <c r="B154" s="5"/>
      <c r="C154" s="5"/>
      <c r="D154" s="5"/>
      <c r="E154" s="5"/>
      <c r="G154" s="5" t="str">
        <f t="shared" si="8"/>
        <v>❌ FAILED: 6.4% - This person has probably not the right Codice Fiscale</v>
      </c>
      <c r="H154" s="6"/>
      <c r="I154" s="5" t="str">
        <f t="shared" si="0"/>
        <v>❌ FAIL - Wrong length (0/16 chars)</v>
      </c>
      <c r="J154" s="5" t="e">
        <f>_xlfn.LET(
  _xlpm.cf, UPPER(E154),
  _xlpm.data, D154,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54" s="5" t="e">
        <f t="shared" si="9"/>
        <v>#VALUE!</v>
      </c>
      <c r="L154" s="5" t="str">
        <f t="shared" si="10"/>
        <v xml:space="preserve">❌ FAIL - 8/50 points (1/6) - Expected: XXXXX, Found: </v>
      </c>
      <c r="M154" s="5" t="s">
        <v>24</v>
      </c>
      <c r="N154" s="5" t="s">
        <v>28</v>
      </c>
    </row>
    <row r="155" spans="1:14" ht="13">
      <c r="A155" s="5"/>
      <c r="B155" s="5"/>
      <c r="C155" s="5"/>
      <c r="D155" s="5"/>
      <c r="E155" s="5"/>
      <c r="G155" s="5" t="str">
        <f t="shared" si="8"/>
        <v>❌ FAILED: 6.4% - This person has probably not the right Codice Fiscale</v>
      </c>
      <c r="H155" s="6"/>
      <c r="I155" s="5" t="str">
        <f t="shared" si="0"/>
        <v>❌ FAIL - Wrong length (0/16 chars)</v>
      </c>
      <c r="J155" s="5" t="e">
        <f>_xlfn.LET(
  _xlpm.cf, UPPER(E155),
  _xlpm.data, D155,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55" s="5" t="e">
        <f t="shared" si="9"/>
        <v>#VALUE!</v>
      </c>
      <c r="L155" s="5" t="str">
        <f t="shared" si="10"/>
        <v xml:space="preserve">❌ FAIL - 8/50 points (1/6) - Expected: XXXXX, Found: </v>
      </c>
      <c r="M155" s="5" t="s">
        <v>24</v>
      </c>
      <c r="N155" s="5" t="s">
        <v>28</v>
      </c>
    </row>
    <row r="156" spans="1:14" ht="13">
      <c r="A156" s="5"/>
      <c r="B156" s="5"/>
      <c r="C156" s="5"/>
      <c r="D156" s="5"/>
      <c r="E156" s="5"/>
      <c r="G156" s="5" t="str">
        <f t="shared" si="8"/>
        <v>❌ FAILED: 6.4% - This person has probably not the right Codice Fiscale</v>
      </c>
      <c r="H156" s="6"/>
      <c r="I156" s="5" t="str">
        <f t="shared" si="0"/>
        <v>❌ FAIL - Wrong length (0/16 chars)</v>
      </c>
      <c r="J156" s="5" t="e">
        <f>_xlfn.LET(
  _xlpm.cf, UPPER(E156),
  _xlpm.data, D156,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56" s="5" t="e">
        <f t="shared" si="9"/>
        <v>#VALUE!</v>
      </c>
      <c r="L156" s="5" t="str">
        <f t="shared" si="10"/>
        <v xml:space="preserve">❌ FAIL - 8/50 points (1/6) - Expected: XXXXX, Found: </v>
      </c>
      <c r="M156" s="5" t="s">
        <v>24</v>
      </c>
      <c r="N156" s="5" t="s">
        <v>28</v>
      </c>
    </row>
    <row r="157" spans="1:14" ht="13">
      <c r="A157" s="5"/>
      <c r="B157" s="5"/>
      <c r="C157" s="5"/>
      <c r="D157" s="5"/>
      <c r="E157" s="5"/>
      <c r="G157" s="5" t="str">
        <f t="shared" si="8"/>
        <v>❌ FAILED: 6.4% - This person has probably not the right Codice Fiscale</v>
      </c>
      <c r="H157" s="6"/>
      <c r="I157" s="5" t="str">
        <f t="shared" si="0"/>
        <v>❌ FAIL - Wrong length (0/16 chars)</v>
      </c>
      <c r="J157" s="5" t="e">
        <f>_xlfn.LET(
  _xlpm.cf, UPPER(E157),
  _xlpm.data, D157,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57" s="5" t="e">
        <f t="shared" si="9"/>
        <v>#VALUE!</v>
      </c>
      <c r="L157" s="5" t="str">
        <f t="shared" si="10"/>
        <v xml:space="preserve">❌ FAIL - 8/50 points (1/6) - Expected: XXXXX, Found: </v>
      </c>
      <c r="M157" s="5" t="s">
        <v>24</v>
      </c>
      <c r="N157" s="5" t="s">
        <v>28</v>
      </c>
    </row>
    <row r="158" spans="1:14" ht="13">
      <c r="A158" s="5"/>
      <c r="B158" s="5"/>
      <c r="C158" s="5"/>
      <c r="D158" s="5"/>
      <c r="E158" s="5"/>
      <c r="G158" s="5" t="str">
        <f t="shared" si="8"/>
        <v>❌ FAILED: 6.4% - This person has probably not the right Codice Fiscale</v>
      </c>
      <c r="H158" s="6"/>
      <c r="I158" s="5" t="str">
        <f t="shared" si="0"/>
        <v>❌ FAIL - Wrong length (0/16 chars)</v>
      </c>
      <c r="J158" s="5" t="e">
        <f>_xlfn.LET(
  _xlpm.cf, UPPER(E158),
  _xlpm.data, D158,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58" s="5" t="e">
        <f t="shared" si="9"/>
        <v>#VALUE!</v>
      </c>
      <c r="L158" s="5" t="str">
        <f t="shared" si="10"/>
        <v xml:space="preserve">❌ FAIL - 8/50 points (1/6) - Expected: XXXXX, Found: </v>
      </c>
      <c r="M158" s="5" t="s">
        <v>24</v>
      </c>
      <c r="N158" s="5" t="s">
        <v>28</v>
      </c>
    </row>
    <row r="159" spans="1:14" ht="13">
      <c r="A159" s="5"/>
      <c r="B159" s="5"/>
      <c r="C159" s="5"/>
      <c r="D159" s="5"/>
      <c r="E159" s="5"/>
      <c r="G159" s="5" t="str">
        <f t="shared" si="8"/>
        <v>❌ FAILED: 6.4% - This person has probably not the right Codice Fiscale</v>
      </c>
      <c r="H159" s="6"/>
      <c r="I159" s="5" t="str">
        <f t="shared" si="0"/>
        <v>❌ FAIL - Wrong length (0/16 chars)</v>
      </c>
      <c r="J159" s="5" t="e">
        <f>_xlfn.LET(
  _xlpm.cf, UPPER(E159),
  _xlpm.data, D159,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59" s="5" t="e">
        <f t="shared" si="9"/>
        <v>#VALUE!</v>
      </c>
      <c r="L159" s="5" t="str">
        <f t="shared" si="10"/>
        <v xml:space="preserve">❌ FAIL - 8/50 points (1/6) - Expected: XXXXX, Found: </v>
      </c>
      <c r="M159" s="5" t="s">
        <v>24</v>
      </c>
      <c r="N159" s="5" t="s">
        <v>28</v>
      </c>
    </row>
    <row r="160" spans="1:14" ht="13">
      <c r="A160" s="5"/>
      <c r="B160" s="5"/>
      <c r="C160" s="5"/>
      <c r="D160" s="5"/>
      <c r="E160" s="5"/>
      <c r="G160" s="5" t="str">
        <f t="shared" si="8"/>
        <v>❌ FAILED: 6.4% - This person has probably not the right Codice Fiscale</v>
      </c>
      <c r="H160" s="6"/>
      <c r="I160" s="5" t="str">
        <f t="shared" si="0"/>
        <v>❌ FAIL - Wrong length (0/16 chars)</v>
      </c>
      <c r="J160" s="5" t="e">
        <f>_xlfn.LET(
  _xlpm.cf, UPPER(E160),
  _xlpm.data, D160,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60" s="5" t="e">
        <f t="shared" si="9"/>
        <v>#VALUE!</v>
      </c>
      <c r="L160" s="5" t="str">
        <f t="shared" si="10"/>
        <v xml:space="preserve">❌ FAIL - 8/50 points (1/6) - Expected: XXXXX, Found: </v>
      </c>
      <c r="M160" s="5" t="s">
        <v>24</v>
      </c>
      <c r="N160" s="5" t="s">
        <v>28</v>
      </c>
    </row>
    <row r="161" spans="1:14" ht="13">
      <c r="A161" s="5"/>
      <c r="B161" s="5"/>
      <c r="C161" s="5"/>
      <c r="D161" s="5"/>
      <c r="E161" s="5"/>
      <c r="G161" s="5" t="str">
        <f t="shared" si="8"/>
        <v>❌ FAILED: 6.4% - This person has probably not the right Codice Fiscale</v>
      </c>
      <c r="H161" s="6"/>
      <c r="I161" s="5" t="str">
        <f t="shared" si="0"/>
        <v>❌ FAIL - Wrong length (0/16 chars)</v>
      </c>
      <c r="J161" s="5" t="e">
        <f>_xlfn.LET(
  _xlpm.cf, UPPER(E161),
  _xlpm.data, D161,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61" s="5" t="e">
        <f t="shared" si="9"/>
        <v>#VALUE!</v>
      </c>
      <c r="L161" s="5" t="str">
        <f t="shared" si="10"/>
        <v xml:space="preserve">❌ FAIL - 8/50 points (1/6) - Expected: XXXXX, Found: </v>
      </c>
      <c r="M161" s="5" t="s">
        <v>24</v>
      </c>
      <c r="N161" s="5" t="s">
        <v>28</v>
      </c>
    </row>
    <row r="162" spans="1:14" ht="13">
      <c r="A162" s="5"/>
      <c r="B162" s="5"/>
      <c r="C162" s="5"/>
      <c r="D162" s="5"/>
      <c r="E162" s="5"/>
      <c r="G162" s="5" t="str">
        <f t="shared" si="8"/>
        <v>❌ FAILED: 6.4% - This person has probably not the right Codice Fiscale</v>
      </c>
      <c r="H162" s="6"/>
      <c r="I162" s="5" t="str">
        <f t="shared" si="0"/>
        <v>❌ FAIL - Wrong length (0/16 chars)</v>
      </c>
      <c r="J162" s="5" t="e">
        <f>_xlfn.LET(
  _xlpm.cf, UPPER(E162),
  _xlpm.data, D162,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62" s="5" t="e">
        <f t="shared" si="9"/>
        <v>#VALUE!</v>
      </c>
      <c r="L162" s="5" t="str">
        <f t="shared" si="10"/>
        <v xml:space="preserve">❌ FAIL - 8/50 points (1/6) - Expected: XXXXX, Found: </v>
      </c>
      <c r="M162" s="5" t="s">
        <v>24</v>
      </c>
      <c r="N162" s="5" t="s">
        <v>28</v>
      </c>
    </row>
    <row r="163" spans="1:14" ht="13">
      <c r="A163" s="5"/>
      <c r="B163" s="5"/>
      <c r="C163" s="5"/>
      <c r="D163" s="5"/>
      <c r="E163" s="5"/>
      <c r="G163" s="5" t="str">
        <f t="shared" si="8"/>
        <v>❌ FAILED: 6.4% - This person has probably not the right Codice Fiscale</v>
      </c>
      <c r="H163" s="6"/>
      <c r="I163" s="5" t="str">
        <f t="shared" si="0"/>
        <v>❌ FAIL - Wrong length (0/16 chars)</v>
      </c>
      <c r="J163" s="5" t="e">
        <f>_xlfn.LET(
  _xlpm.cf, UPPER(E163),
  _xlpm.data, D163,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63" s="5" t="e">
        <f t="shared" si="9"/>
        <v>#VALUE!</v>
      </c>
      <c r="L163" s="5" t="str">
        <f t="shared" si="10"/>
        <v xml:space="preserve">❌ FAIL - 8/50 points (1/6) - Expected: XXXXX, Found: </v>
      </c>
      <c r="M163" s="5" t="s">
        <v>24</v>
      </c>
      <c r="N163" s="5" t="s">
        <v>28</v>
      </c>
    </row>
    <row r="164" spans="1:14" ht="13">
      <c r="A164" s="5"/>
      <c r="B164" s="5"/>
      <c r="C164" s="5"/>
      <c r="D164" s="5"/>
      <c r="E164" s="5"/>
      <c r="G164" s="5" t="str">
        <f t="shared" si="8"/>
        <v>❌ FAILED: 6.4% - This person has probably not the right Codice Fiscale</v>
      </c>
      <c r="H164" s="6"/>
      <c r="I164" s="5" t="str">
        <f t="shared" si="0"/>
        <v>❌ FAIL - Wrong length (0/16 chars)</v>
      </c>
      <c r="J164" s="5" t="e">
        <f>_xlfn.LET(
  _xlpm.cf, UPPER(E164),
  _xlpm.data, D164,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64" s="5" t="e">
        <f t="shared" si="9"/>
        <v>#VALUE!</v>
      </c>
      <c r="L164" s="5" t="str">
        <f t="shared" si="10"/>
        <v xml:space="preserve">❌ FAIL - 8/50 points (1/6) - Expected: XXXXX, Found: </v>
      </c>
      <c r="M164" s="5" t="s">
        <v>24</v>
      </c>
      <c r="N164" s="5" t="s">
        <v>28</v>
      </c>
    </row>
    <row r="165" spans="1:14" ht="13">
      <c r="A165" s="5"/>
      <c r="B165" s="5"/>
      <c r="C165" s="5"/>
      <c r="D165" s="5"/>
      <c r="E165" s="5"/>
      <c r="G165" s="5" t="str">
        <f t="shared" si="8"/>
        <v>❌ FAILED: 6.4% - This person has probably not the right Codice Fiscale</v>
      </c>
      <c r="H165" s="6"/>
      <c r="I165" s="5" t="str">
        <f t="shared" si="0"/>
        <v>❌ FAIL - Wrong length (0/16 chars)</v>
      </c>
      <c r="J165" s="5" t="e">
        <f>_xlfn.LET(
  _xlpm.cf, UPPER(E165),
  _xlpm.data, D165,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65" s="5" t="e">
        <f t="shared" si="9"/>
        <v>#VALUE!</v>
      </c>
      <c r="L165" s="5" t="str">
        <f t="shared" si="10"/>
        <v xml:space="preserve">❌ FAIL - 8/50 points (1/6) - Expected: XXXXX, Found: </v>
      </c>
      <c r="M165" s="5" t="s">
        <v>24</v>
      </c>
      <c r="N165" s="5" t="s">
        <v>28</v>
      </c>
    </row>
    <row r="166" spans="1:14" ht="13">
      <c r="A166" s="5"/>
      <c r="B166" s="5"/>
      <c r="C166" s="5"/>
      <c r="D166" s="5"/>
      <c r="E166" s="5"/>
      <c r="G166" s="5" t="str">
        <f t="shared" si="8"/>
        <v>❌ FAILED: 6.4% - This person has probably not the right Codice Fiscale</v>
      </c>
      <c r="H166" s="6"/>
      <c r="I166" s="5" t="str">
        <f t="shared" si="0"/>
        <v>❌ FAIL - Wrong length (0/16 chars)</v>
      </c>
      <c r="J166" s="5" t="e">
        <f>_xlfn.LET(
  _xlpm.cf, UPPER(E166),
  _xlpm.data, D166,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66" s="5" t="e">
        <f t="shared" si="9"/>
        <v>#VALUE!</v>
      </c>
      <c r="L166" s="5" t="str">
        <f t="shared" si="10"/>
        <v xml:space="preserve">❌ FAIL - 8/50 points (1/6) - Expected: XXXXX, Found: </v>
      </c>
      <c r="M166" s="5" t="s">
        <v>24</v>
      </c>
      <c r="N166" s="5" t="s">
        <v>28</v>
      </c>
    </row>
    <row r="167" spans="1:14" ht="13">
      <c r="A167" s="5"/>
      <c r="B167" s="5"/>
      <c r="C167" s="5"/>
      <c r="D167" s="5"/>
      <c r="E167" s="5"/>
      <c r="G167" s="5" t="str">
        <f t="shared" si="8"/>
        <v>❌ FAILED: 6.4% - This person has probably not the right Codice Fiscale</v>
      </c>
      <c r="H167" s="6"/>
      <c r="I167" s="5" t="str">
        <f t="shared" si="0"/>
        <v>❌ FAIL - Wrong length (0/16 chars)</v>
      </c>
      <c r="J167" s="5" t="e">
        <f>_xlfn.LET(
  _xlpm.cf, UPPER(E167),
  _xlpm.data, D167,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67" s="5" t="e">
        <f t="shared" si="9"/>
        <v>#VALUE!</v>
      </c>
      <c r="L167" s="5" t="str">
        <f t="shared" si="10"/>
        <v xml:space="preserve">❌ FAIL - 8/50 points (1/6) - Expected: XXXXX, Found: </v>
      </c>
      <c r="M167" s="5" t="s">
        <v>24</v>
      </c>
      <c r="N167" s="5" t="s">
        <v>28</v>
      </c>
    </row>
    <row r="168" spans="1:14" ht="13">
      <c r="A168" s="5"/>
      <c r="B168" s="5"/>
      <c r="C168" s="5"/>
      <c r="D168" s="5"/>
      <c r="E168" s="5"/>
      <c r="G168" s="5" t="str">
        <f t="shared" si="8"/>
        <v>❌ FAILED: 6.4% - This person has probably not the right Codice Fiscale</v>
      </c>
      <c r="H168" s="6"/>
      <c r="I168" s="5" t="str">
        <f t="shared" si="0"/>
        <v>❌ FAIL - Wrong length (0/16 chars)</v>
      </c>
      <c r="J168" s="5" t="e">
        <f>_xlfn.LET(
  _xlpm.cf, UPPER(E168),
  _xlpm.data, D168,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68" s="5" t="e">
        <f t="shared" si="9"/>
        <v>#VALUE!</v>
      </c>
      <c r="L168" s="5" t="str">
        <f t="shared" si="10"/>
        <v xml:space="preserve">❌ FAIL - 8/50 points (1/6) - Expected: XXXXX, Found: </v>
      </c>
      <c r="M168" s="5" t="s">
        <v>24</v>
      </c>
      <c r="N168" s="5" t="s">
        <v>28</v>
      </c>
    </row>
    <row r="169" spans="1:14" ht="13">
      <c r="A169" s="5"/>
      <c r="B169" s="5"/>
      <c r="C169" s="5"/>
      <c r="D169" s="5"/>
      <c r="E169" s="5"/>
      <c r="G169" s="5" t="str">
        <f t="shared" si="8"/>
        <v>❌ FAILED: 6.4% - This person has probably not the right Codice Fiscale</v>
      </c>
      <c r="H169" s="6"/>
      <c r="I169" s="5" t="str">
        <f t="shared" si="0"/>
        <v>❌ FAIL - Wrong length (0/16 chars)</v>
      </c>
      <c r="J169" s="5" t="e">
        <f>_xlfn.LET(
  _xlpm.cf, UPPER(E169),
  _xlpm.data, D169,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69" s="5" t="e">
        <f t="shared" si="9"/>
        <v>#VALUE!</v>
      </c>
      <c r="L169" s="5" t="str">
        <f t="shared" si="10"/>
        <v xml:space="preserve">❌ FAIL - 8/50 points (1/6) - Expected: XXXXX, Found: </v>
      </c>
      <c r="M169" s="5" t="s">
        <v>24</v>
      </c>
      <c r="N169" s="5" t="s">
        <v>28</v>
      </c>
    </row>
    <row r="170" spans="1:14" ht="13">
      <c r="A170" s="5"/>
      <c r="B170" s="5"/>
      <c r="C170" s="5"/>
      <c r="D170" s="5"/>
      <c r="E170" s="5"/>
      <c r="G170" s="5" t="str">
        <f t="shared" si="8"/>
        <v>❌ FAILED: 6.4% - This person has probably not the right Codice Fiscale</v>
      </c>
      <c r="H170" s="6"/>
      <c r="I170" s="5" t="str">
        <f t="shared" si="0"/>
        <v>❌ FAIL - Wrong length (0/16 chars)</v>
      </c>
      <c r="J170" s="5" t="e">
        <f>_xlfn.LET(
  _xlpm.cf, UPPER(E170),
  _xlpm.data, D170,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70" s="5" t="e">
        <f t="shared" si="9"/>
        <v>#VALUE!</v>
      </c>
      <c r="L170" s="5" t="str">
        <f t="shared" si="10"/>
        <v xml:space="preserve">❌ FAIL - 8/50 points (1/6) - Expected: XXXXX, Found: </v>
      </c>
      <c r="M170" s="5" t="s">
        <v>24</v>
      </c>
      <c r="N170" s="5" t="s">
        <v>28</v>
      </c>
    </row>
    <row r="171" spans="1:14" ht="13">
      <c r="A171" s="5"/>
      <c r="B171" s="5"/>
      <c r="C171" s="5"/>
      <c r="D171" s="5"/>
      <c r="E171" s="5"/>
      <c r="G171" s="5" t="str">
        <f t="shared" si="8"/>
        <v>❌ FAILED: 6.4% - This person has probably not the right Codice Fiscale</v>
      </c>
      <c r="H171" s="6"/>
      <c r="I171" s="5" t="str">
        <f t="shared" si="0"/>
        <v>❌ FAIL - Wrong length (0/16 chars)</v>
      </c>
      <c r="J171" s="5" t="e">
        <f>_xlfn.LET(
  _xlpm.cf, UPPER(E171),
  _xlpm.data, D171,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71" s="5" t="e">
        <f t="shared" si="9"/>
        <v>#VALUE!</v>
      </c>
      <c r="L171" s="5" t="str">
        <f t="shared" si="10"/>
        <v xml:space="preserve">❌ FAIL - 8/50 points (1/6) - Expected: XXXXX, Found: </v>
      </c>
      <c r="M171" s="5" t="s">
        <v>24</v>
      </c>
      <c r="N171" s="5" t="s">
        <v>28</v>
      </c>
    </row>
    <row r="172" spans="1:14" ht="13">
      <c r="A172" s="5"/>
      <c r="B172" s="5"/>
      <c r="C172" s="5"/>
      <c r="D172" s="5"/>
      <c r="E172" s="5"/>
      <c r="G172" s="5" t="str">
        <f t="shared" si="8"/>
        <v>❌ FAILED: 6.4% - This person has probably not the right Codice Fiscale</v>
      </c>
      <c r="H172" s="6"/>
      <c r="I172" s="5" t="str">
        <f t="shared" si="0"/>
        <v>❌ FAIL - Wrong length (0/16 chars)</v>
      </c>
      <c r="J172" s="5" t="e">
        <f>_xlfn.LET(
  _xlpm.cf, UPPER(E172),
  _xlpm.data, D172,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72" s="5" t="e">
        <f t="shared" si="9"/>
        <v>#VALUE!</v>
      </c>
      <c r="L172" s="5" t="str">
        <f t="shared" si="10"/>
        <v xml:space="preserve">❌ FAIL - 8/50 points (1/6) - Expected: XXXXX, Found: </v>
      </c>
      <c r="M172" s="5" t="s">
        <v>24</v>
      </c>
      <c r="N172" s="5" t="s">
        <v>28</v>
      </c>
    </row>
    <row r="173" spans="1:14" ht="13">
      <c r="A173" s="5"/>
      <c r="B173" s="5"/>
      <c r="C173" s="5"/>
      <c r="D173" s="5"/>
      <c r="E173" s="5"/>
      <c r="G173" s="5" t="str">
        <f t="shared" si="8"/>
        <v>❌ FAILED: 6.4% - This person has probably not the right Codice Fiscale</v>
      </c>
      <c r="H173" s="6"/>
      <c r="I173" s="5" t="str">
        <f t="shared" si="0"/>
        <v>❌ FAIL - Wrong length (0/16 chars)</v>
      </c>
      <c r="J173" s="5" t="e">
        <f>_xlfn.LET(
  _xlpm.cf, UPPER(E173),
  _xlpm.data, D173,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73" s="5" t="e">
        <f t="shared" si="9"/>
        <v>#VALUE!</v>
      </c>
      <c r="L173" s="5" t="str">
        <f t="shared" si="10"/>
        <v xml:space="preserve">❌ FAIL - 8/50 points (1/6) - Expected: XXXXX, Found: </v>
      </c>
      <c r="M173" s="5" t="s">
        <v>24</v>
      </c>
      <c r="N173" s="5" t="s">
        <v>28</v>
      </c>
    </row>
    <row r="174" spans="1:14" ht="13">
      <c r="A174" s="5"/>
      <c r="B174" s="5"/>
      <c r="C174" s="5"/>
      <c r="D174" s="5"/>
      <c r="E174" s="5"/>
      <c r="G174" s="5" t="str">
        <f t="shared" si="8"/>
        <v>❌ FAILED: 6.4% - This person has probably not the right Codice Fiscale</v>
      </c>
      <c r="H174" s="6"/>
      <c r="I174" s="5" t="str">
        <f t="shared" si="0"/>
        <v>❌ FAIL - Wrong length (0/16 chars)</v>
      </c>
      <c r="J174" s="5" t="e">
        <f>_xlfn.LET(
  _xlpm.cf, UPPER(E174),
  _xlpm.data, D174,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74" s="5" t="e">
        <f t="shared" si="9"/>
        <v>#VALUE!</v>
      </c>
      <c r="L174" s="5" t="str">
        <f t="shared" si="10"/>
        <v xml:space="preserve">❌ FAIL - 8/50 points (1/6) - Expected: XXXXX, Found: </v>
      </c>
      <c r="M174" s="5" t="s">
        <v>24</v>
      </c>
      <c r="N174" s="5" t="s">
        <v>28</v>
      </c>
    </row>
    <row r="175" spans="1:14" ht="13">
      <c r="A175" s="5"/>
      <c r="B175" s="5"/>
      <c r="C175" s="5"/>
      <c r="D175" s="5"/>
      <c r="E175" s="5"/>
      <c r="G175" s="5" t="str">
        <f t="shared" si="8"/>
        <v>❌ FAILED: 6.4% - This person has probably not the right Codice Fiscale</v>
      </c>
      <c r="H175" s="6"/>
      <c r="I175" s="5" t="str">
        <f t="shared" si="0"/>
        <v>❌ FAIL - Wrong length (0/16 chars)</v>
      </c>
      <c r="J175" s="5" t="e">
        <f>_xlfn.LET(
  _xlpm.cf, UPPER(E175),
  _xlpm.data, D175,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75" s="5" t="e">
        <f t="shared" si="9"/>
        <v>#VALUE!</v>
      </c>
      <c r="L175" s="5" t="str">
        <f t="shared" si="10"/>
        <v xml:space="preserve">❌ FAIL - 8/50 points (1/6) - Expected: XXXXX, Found: </v>
      </c>
      <c r="M175" s="5" t="s">
        <v>24</v>
      </c>
      <c r="N175" s="5" t="s">
        <v>28</v>
      </c>
    </row>
    <row r="176" spans="1:14" ht="13">
      <c r="A176" s="5"/>
      <c r="B176" s="5"/>
      <c r="C176" s="5"/>
      <c r="D176" s="5"/>
      <c r="E176" s="5"/>
      <c r="G176" s="5" t="str">
        <f t="shared" si="8"/>
        <v>❌ FAILED: 6.4% - This person has probably not the right Codice Fiscale</v>
      </c>
      <c r="H176" s="6"/>
      <c r="I176" s="5" t="str">
        <f t="shared" si="0"/>
        <v>❌ FAIL - Wrong length (0/16 chars)</v>
      </c>
      <c r="J176" s="5" t="e">
        <f>_xlfn.LET(
  _xlpm.cf, UPPER(E176),
  _xlpm.data, D176,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76" s="5" t="e">
        <f t="shared" si="9"/>
        <v>#VALUE!</v>
      </c>
      <c r="L176" s="5" t="str">
        <f t="shared" si="10"/>
        <v xml:space="preserve">❌ FAIL - 8/50 points (1/6) - Expected: XXXXX, Found: </v>
      </c>
      <c r="M176" s="5" t="s">
        <v>24</v>
      </c>
      <c r="N176" s="5" t="s">
        <v>28</v>
      </c>
    </row>
    <row r="177" spans="1:14" ht="13">
      <c r="A177" s="5"/>
      <c r="B177" s="5"/>
      <c r="C177" s="5"/>
      <c r="D177" s="5"/>
      <c r="E177" s="5"/>
      <c r="G177" s="5" t="str">
        <f t="shared" si="8"/>
        <v>❌ FAILED: 6.4% - This person has probably not the right Codice Fiscale</v>
      </c>
      <c r="H177" s="6"/>
      <c r="I177" s="5" t="str">
        <f t="shared" si="0"/>
        <v>❌ FAIL - Wrong length (0/16 chars)</v>
      </c>
      <c r="J177" s="5" t="e">
        <f>_xlfn.LET(
  _xlpm.cf, UPPER(E177),
  _xlpm.data, D177,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77" s="5" t="e">
        <f t="shared" si="9"/>
        <v>#VALUE!</v>
      </c>
      <c r="L177" s="5" t="str">
        <f t="shared" si="10"/>
        <v xml:space="preserve">❌ FAIL - 8/50 points (1/6) - Expected: XXXXX, Found: </v>
      </c>
      <c r="M177" s="5" t="s">
        <v>24</v>
      </c>
      <c r="N177" s="5" t="s">
        <v>28</v>
      </c>
    </row>
    <row r="178" spans="1:14" ht="13">
      <c r="A178" s="5"/>
      <c r="B178" s="5"/>
      <c r="C178" s="5"/>
      <c r="D178" s="5"/>
      <c r="E178" s="5"/>
      <c r="G178" s="5" t="str">
        <f t="shared" si="8"/>
        <v>❌ FAILED: 6.4% - This person has probably not the right Codice Fiscale</v>
      </c>
      <c r="H178" s="6"/>
      <c r="I178" s="5" t="str">
        <f t="shared" si="0"/>
        <v>❌ FAIL - Wrong length (0/16 chars)</v>
      </c>
      <c r="J178" s="5" t="e">
        <f>_xlfn.LET(
  _xlpm.cf, UPPER(E178),
  _xlpm.data, D178,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78" s="5" t="e">
        <f t="shared" si="9"/>
        <v>#VALUE!</v>
      </c>
      <c r="L178" s="5" t="str">
        <f t="shared" si="10"/>
        <v xml:space="preserve">❌ FAIL - 8/50 points (1/6) - Expected: XXXXX, Found: </v>
      </c>
      <c r="M178" s="5" t="s">
        <v>24</v>
      </c>
      <c r="N178" s="5" t="s">
        <v>28</v>
      </c>
    </row>
    <row r="179" spans="1:14" ht="13">
      <c r="A179" s="5"/>
      <c r="B179" s="5"/>
      <c r="C179" s="5"/>
      <c r="D179" s="5"/>
      <c r="E179" s="5"/>
      <c r="G179" s="5" t="str">
        <f t="shared" si="8"/>
        <v>❌ FAILED: 6.4% - This person has probably not the right Codice Fiscale</v>
      </c>
      <c r="H179" s="6"/>
      <c r="I179" s="5" t="str">
        <f t="shared" si="0"/>
        <v>❌ FAIL - Wrong length (0/16 chars)</v>
      </c>
      <c r="J179" s="5" t="e">
        <f>_xlfn.LET(
  _xlpm.cf, UPPER(E179),
  _xlpm.data, D179,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79" s="5" t="e">
        <f t="shared" si="9"/>
        <v>#VALUE!</v>
      </c>
      <c r="L179" s="5" t="str">
        <f t="shared" si="10"/>
        <v xml:space="preserve">❌ FAIL - 8/50 points (1/6) - Expected: XXXXX, Found: </v>
      </c>
      <c r="M179" s="5" t="s">
        <v>24</v>
      </c>
      <c r="N179" s="5" t="s">
        <v>28</v>
      </c>
    </row>
    <row r="180" spans="1:14" ht="13">
      <c r="A180" s="5"/>
      <c r="B180" s="5"/>
      <c r="C180" s="5"/>
      <c r="D180" s="5"/>
      <c r="E180" s="5"/>
      <c r="G180" s="5" t="str">
        <f t="shared" si="8"/>
        <v>❌ FAILED: 6.4% - This person has probably not the right Codice Fiscale</v>
      </c>
      <c r="H180" s="6"/>
      <c r="I180" s="5" t="str">
        <f t="shared" si="0"/>
        <v>❌ FAIL - Wrong length (0/16 chars)</v>
      </c>
      <c r="J180" s="5" t="e">
        <f>_xlfn.LET(
  _xlpm.cf, UPPER(E180),
  _xlpm.data, D180,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80" s="5" t="e">
        <f t="shared" si="9"/>
        <v>#VALUE!</v>
      </c>
      <c r="L180" s="5" t="str">
        <f t="shared" si="10"/>
        <v xml:space="preserve">❌ FAIL - 8/50 points (1/6) - Expected: XXXXX, Found: </v>
      </c>
      <c r="M180" s="5" t="s">
        <v>24</v>
      </c>
      <c r="N180" s="5" t="s">
        <v>28</v>
      </c>
    </row>
    <row r="181" spans="1:14" ht="13">
      <c r="A181" s="5"/>
      <c r="B181" s="5"/>
      <c r="C181" s="5"/>
      <c r="D181" s="5"/>
      <c r="E181" s="5"/>
      <c r="G181" s="5" t="str">
        <f t="shared" si="8"/>
        <v>❌ FAILED: 6.4% - This person has probably not the right Codice Fiscale</v>
      </c>
      <c r="H181" s="6"/>
      <c r="I181" s="5" t="str">
        <f t="shared" si="0"/>
        <v>❌ FAIL - Wrong length (0/16 chars)</v>
      </c>
      <c r="J181" s="5" t="e">
        <f>_xlfn.LET(
  _xlpm.cf, UPPER(E181),
  _xlpm.data, D181,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81" s="5" t="e">
        <f t="shared" si="9"/>
        <v>#VALUE!</v>
      </c>
      <c r="L181" s="5" t="str">
        <f t="shared" si="10"/>
        <v xml:space="preserve">❌ FAIL - 8/50 points (1/6) - Expected: XXXXX, Found: </v>
      </c>
      <c r="M181" s="5" t="s">
        <v>24</v>
      </c>
      <c r="N181" s="5" t="s">
        <v>28</v>
      </c>
    </row>
    <row r="182" spans="1:14" ht="13">
      <c r="A182" s="5"/>
      <c r="B182" s="5"/>
      <c r="C182" s="5"/>
      <c r="D182" s="5"/>
      <c r="E182" s="5"/>
      <c r="G182" s="5" t="str">
        <f t="shared" si="8"/>
        <v>❌ FAILED: 6.4% - This person has probably not the right Codice Fiscale</v>
      </c>
      <c r="H182" s="6"/>
      <c r="I182" s="5" t="str">
        <f t="shared" si="0"/>
        <v>❌ FAIL - Wrong length (0/16 chars)</v>
      </c>
      <c r="J182" s="5" t="e">
        <f>_xlfn.LET(
  _xlpm.cf, UPPER(E182),
  _xlpm.data, D182,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82" s="5" t="e">
        <f t="shared" si="9"/>
        <v>#VALUE!</v>
      </c>
      <c r="L182" s="5" t="str">
        <f t="shared" si="10"/>
        <v xml:space="preserve">❌ FAIL - 8/50 points (1/6) - Expected: XXXXX, Found: </v>
      </c>
      <c r="M182" s="5" t="s">
        <v>24</v>
      </c>
      <c r="N182" s="5" t="s">
        <v>28</v>
      </c>
    </row>
    <row r="183" spans="1:14" ht="13">
      <c r="A183" s="5"/>
      <c r="B183" s="5"/>
      <c r="C183" s="5"/>
      <c r="D183" s="5"/>
      <c r="E183" s="5"/>
      <c r="G183" s="5" t="str">
        <f t="shared" si="8"/>
        <v>❌ FAILED: 6.4% - This person has probably not the right Codice Fiscale</v>
      </c>
      <c r="H183" s="6"/>
      <c r="I183" s="5" t="str">
        <f t="shared" si="0"/>
        <v>❌ FAIL - Wrong length (0/16 chars)</v>
      </c>
      <c r="J183" s="5" t="e">
        <f>_xlfn.LET(
  _xlpm.cf, UPPER(E183),
  _xlpm.data, D183,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83" s="5" t="e">
        <f t="shared" si="9"/>
        <v>#VALUE!</v>
      </c>
      <c r="L183" s="5" t="str">
        <f t="shared" si="10"/>
        <v xml:space="preserve">❌ FAIL - 8/50 points (1/6) - Expected: XXXXX, Found: </v>
      </c>
      <c r="M183" s="5" t="s">
        <v>24</v>
      </c>
      <c r="N183" s="5" t="s">
        <v>28</v>
      </c>
    </row>
    <row r="184" spans="1:14" ht="13">
      <c r="A184" s="5"/>
      <c r="B184" s="5"/>
      <c r="C184" s="5"/>
      <c r="D184" s="5"/>
      <c r="E184" s="5"/>
      <c r="G184" s="5" t="str">
        <f t="shared" si="8"/>
        <v>❌ FAILED: 6.4% - This person has probably not the right Codice Fiscale</v>
      </c>
      <c r="H184" s="6"/>
      <c r="I184" s="5" t="str">
        <f t="shared" si="0"/>
        <v>❌ FAIL - Wrong length (0/16 chars)</v>
      </c>
      <c r="J184" s="5" t="e">
        <f>_xlfn.LET(
  _xlpm.cf, UPPER(E184),
  _xlpm.data, D184,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84" s="5" t="e">
        <f t="shared" si="9"/>
        <v>#VALUE!</v>
      </c>
      <c r="L184" s="5" t="str">
        <f t="shared" si="10"/>
        <v xml:space="preserve">❌ FAIL - 8/50 points (1/6) - Expected: XXXXX, Found: </v>
      </c>
      <c r="M184" s="5" t="s">
        <v>24</v>
      </c>
      <c r="N184" s="5" t="s">
        <v>28</v>
      </c>
    </row>
    <row r="185" spans="1:14" ht="13">
      <c r="A185" s="5"/>
      <c r="B185" s="5"/>
      <c r="C185" s="5"/>
      <c r="D185" s="5"/>
      <c r="E185" s="5"/>
      <c r="G185" s="5" t="str">
        <f t="shared" si="8"/>
        <v>❌ FAILED: 6.4% - This person has probably not the right Codice Fiscale</v>
      </c>
      <c r="H185" s="6"/>
      <c r="I185" s="5" t="str">
        <f t="shared" si="0"/>
        <v>❌ FAIL - Wrong length (0/16 chars)</v>
      </c>
      <c r="J185" s="5" t="e">
        <f>_xlfn.LET(
  _xlpm.cf, UPPER(E185),
  _xlpm.data, D185,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85" s="5" t="e">
        <f t="shared" si="9"/>
        <v>#VALUE!</v>
      </c>
      <c r="L185" s="5" t="str">
        <f t="shared" si="10"/>
        <v xml:space="preserve">❌ FAIL - 8/50 points (1/6) - Expected: XXXXX, Found: </v>
      </c>
      <c r="M185" s="5" t="s">
        <v>24</v>
      </c>
      <c r="N185" s="5" t="s">
        <v>28</v>
      </c>
    </row>
    <row r="186" spans="1:14" ht="13">
      <c r="A186" s="5"/>
      <c r="B186" s="5"/>
      <c r="C186" s="5"/>
      <c r="D186" s="5"/>
      <c r="E186" s="5"/>
      <c r="G186" s="5" t="str">
        <f t="shared" si="8"/>
        <v>❌ FAILED: 6.4% - This person has probably not the right Codice Fiscale</v>
      </c>
      <c r="H186" s="6"/>
      <c r="I186" s="5" t="str">
        <f t="shared" si="0"/>
        <v>❌ FAIL - Wrong length (0/16 chars)</v>
      </c>
      <c r="J186" s="5" t="e">
        <f>_xlfn.LET(
  _xlpm.cf, UPPER(E186),
  _xlpm.data, D186,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86" s="5" t="e">
        <f t="shared" si="9"/>
        <v>#VALUE!</v>
      </c>
      <c r="L186" s="5" t="str">
        <f t="shared" si="10"/>
        <v xml:space="preserve">❌ FAIL - 8/50 points (1/6) - Expected: XXXXX, Found: </v>
      </c>
      <c r="M186" s="5" t="s">
        <v>24</v>
      </c>
      <c r="N186" s="5" t="s">
        <v>28</v>
      </c>
    </row>
    <row r="187" spans="1:14" ht="13">
      <c r="A187" s="5"/>
      <c r="B187" s="5"/>
      <c r="C187" s="5"/>
      <c r="D187" s="5"/>
      <c r="E187" s="5"/>
      <c r="G187" s="5" t="str">
        <f t="shared" si="8"/>
        <v>❌ FAILED: 6.4% - This person has probably not the right Codice Fiscale</v>
      </c>
      <c r="H187" s="6"/>
      <c r="I187" s="5" t="str">
        <f t="shared" si="0"/>
        <v>❌ FAIL - Wrong length (0/16 chars)</v>
      </c>
      <c r="J187" s="5" t="e">
        <f>_xlfn.LET(
  _xlpm.cf, UPPER(E187),
  _xlpm.data, D187,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87" s="5" t="e">
        <f t="shared" si="9"/>
        <v>#VALUE!</v>
      </c>
      <c r="L187" s="5" t="str">
        <f t="shared" si="10"/>
        <v xml:space="preserve">❌ FAIL - 8/50 points (1/6) - Expected: XXXXX, Found: </v>
      </c>
      <c r="M187" s="5" t="s">
        <v>24</v>
      </c>
      <c r="N187" s="5" t="s">
        <v>28</v>
      </c>
    </row>
    <row r="188" spans="1:14" ht="13">
      <c r="A188" s="5"/>
      <c r="B188" s="5"/>
      <c r="C188" s="5"/>
      <c r="D188" s="5"/>
      <c r="E188" s="5"/>
      <c r="G188" s="5" t="str">
        <f t="shared" si="8"/>
        <v>❌ FAILED: 6.4% - This person has probably not the right Codice Fiscale</v>
      </c>
      <c r="H188" s="6"/>
      <c r="I188" s="5" t="str">
        <f t="shared" si="0"/>
        <v>❌ FAIL - Wrong length (0/16 chars)</v>
      </c>
      <c r="J188" s="5" t="e">
        <f>_xlfn.LET(
  _xlpm.cf, UPPER(E188),
  _xlpm.data, D188,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88" s="5" t="e">
        <f t="shared" si="9"/>
        <v>#VALUE!</v>
      </c>
      <c r="L188" s="5" t="str">
        <f t="shared" si="10"/>
        <v xml:space="preserve">❌ FAIL - 8/50 points (1/6) - Expected: XXXXX, Found: </v>
      </c>
      <c r="M188" s="5" t="s">
        <v>24</v>
      </c>
      <c r="N188" s="5" t="s">
        <v>28</v>
      </c>
    </row>
    <row r="189" spans="1:14" ht="13">
      <c r="A189" s="5"/>
      <c r="B189" s="5"/>
      <c r="C189" s="5"/>
      <c r="D189" s="5"/>
      <c r="E189" s="5"/>
      <c r="G189" s="5" t="str">
        <f t="shared" si="8"/>
        <v>❌ FAILED: 6.4% - This person has probably not the right Codice Fiscale</v>
      </c>
      <c r="H189" s="6"/>
      <c r="I189" s="5" t="str">
        <f t="shared" si="0"/>
        <v>❌ FAIL - Wrong length (0/16 chars)</v>
      </c>
      <c r="J189" s="5" t="e">
        <f>_xlfn.LET(
  _xlpm.cf, UPPER(E189),
  _xlpm.data, D189,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89" s="5" t="e">
        <f t="shared" si="9"/>
        <v>#VALUE!</v>
      </c>
      <c r="L189" s="5" t="str">
        <f t="shared" si="10"/>
        <v xml:space="preserve">❌ FAIL - 8/50 points (1/6) - Expected: XXXXX, Found: </v>
      </c>
      <c r="M189" s="5" t="s">
        <v>24</v>
      </c>
      <c r="N189" s="5" t="s">
        <v>28</v>
      </c>
    </row>
    <row r="190" spans="1:14" ht="13">
      <c r="A190" s="5"/>
      <c r="B190" s="5"/>
      <c r="C190" s="5"/>
      <c r="D190" s="5"/>
      <c r="E190" s="5"/>
      <c r="G190" s="5" t="str">
        <f t="shared" si="8"/>
        <v>❌ FAILED: 6.4% - This person has probably not the right Codice Fiscale</v>
      </c>
      <c r="H190" s="6"/>
      <c r="I190" s="5" t="str">
        <f t="shared" si="0"/>
        <v>❌ FAIL - Wrong length (0/16 chars)</v>
      </c>
      <c r="J190" s="5" t="e">
        <f>_xlfn.LET(
  _xlpm.cf, UPPER(E190),
  _xlpm.data, D190,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90" s="5" t="e">
        <f t="shared" si="9"/>
        <v>#VALUE!</v>
      </c>
      <c r="L190" s="5" t="str">
        <f t="shared" si="10"/>
        <v xml:space="preserve">❌ FAIL - 8/50 points (1/6) - Expected: XXXXX, Found: </v>
      </c>
      <c r="M190" s="5" t="s">
        <v>24</v>
      </c>
      <c r="N190" s="5" t="s">
        <v>28</v>
      </c>
    </row>
    <row r="191" spans="1:14" ht="13">
      <c r="A191" s="5"/>
      <c r="B191" s="5"/>
      <c r="C191" s="5"/>
      <c r="D191" s="5"/>
      <c r="E191" s="5"/>
      <c r="G191" s="5" t="str">
        <f t="shared" si="8"/>
        <v>❌ FAILED: 6.4% - This person has probably not the right Codice Fiscale</v>
      </c>
      <c r="H191" s="6"/>
      <c r="I191" s="5" t="str">
        <f t="shared" si="0"/>
        <v>❌ FAIL - Wrong length (0/16 chars)</v>
      </c>
      <c r="J191" s="5" t="e">
        <f>_xlfn.LET(
  _xlpm.cf, UPPER(E191),
  _xlpm.data, D191,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91" s="5" t="e">
        <f t="shared" si="9"/>
        <v>#VALUE!</v>
      </c>
      <c r="L191" s="5" t="str">
        <f t="shared" si="10"/>
        <v xml:space="preserve">❌ FAIL - 8/50 points (1/6) - Expected: XXXXX, Found: </v>
      </c>
      <c r="M191" s="5" t="s">
        <v>24</v>
      </c>
      <c r="N191" s="5" t="s">
        <v>28</v>
      </c>
    </row>
    <row r="192" spans="1:14" ht="13">
      <c r="A192" s="5"/>
      <c r="B192" s="5"/>
      <c r="C192" s="5"/>
      <c r="D192" s="5"/>
      <c r="E192" s="5"/>
      <c r="G192" s="5" t="str">
        <f t="shared" si="8"/>
        <v>❌ FAILED: 6.4% - This person has probably not the right Codice Fiscale</v>
      </c>
      <c r="H192" s="6"/>
      <c r="I192" s="5" t="str">
        <f t="shared" si="0"/>
        <v>❌ FAIL - Wrong length (0/16 chars)</v>
      </c>
      <c r="J192" s="5" t="e">
        <f>_xlfn.LET(
  _xlpm.cf, UPPER(E192),
  _xlpm.data, D192,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92" s="5" t="e">
        <f t="shared" si="9"/>
        <v>#VALUE!</v>
      </c>
      <c r="L192" s="5" t="str">
        <f t="shared" si="10"/>
        <v xml:space="preserve">❌ FAIL - 8/50 points (1/6) - Expected: XXXXX, Found: </v>
      </c>
      <c r="M192" s="5" t="s">
        <v>24</v>
      </c>
      <c r="N192" s="5" t="s">
        <v>28</v>
      </c>
    </row>
    <row r="193" spans="1:14" ht="13">
      <c r="A193" s="5"/>
      <c r="B193" s="5"/>
      <c r="C193" s="5"/>
      <c r="D193" s="5"/>
      <c r="E193" s="5"/>
      <c r="G193" s="5" t="str">
        <f t="shared" si="8"/>
        <v>❌ FAILED: 6.4% - This person has probably not the right Codice Fiscale</v>
      </c>
      <c r="H193" s="6"/>
      <c r="I193" s="5" t="str">
        <f t="shared" si="0"/>
        <v>❌ FAIL - Wrong length (0/16 chars)</v>
      </c>
      <c r="J193" s="5" t="e">
        <f>_xlfn.LET(
  _xlpm.cf, UPPER(E193),
  _xlpm.data, D193,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93" s="5" t="e">
        <f t="shared" si="9"/>
        <v>#VALUE!</v>
      </c>
      <c r="L193" s="5" t="str">
        <f t="shared" si="10"/>
        <v xml:space="preserve">❌ FAIL - 8/50 points (1/6) - Expected: XXXXX, Found: </v>
      </c>
      <c r="M193" s="5" t="s">
        <v>24</v>
      </c>
      <c r="N193" s="5" t="s">
        <v>28</v>
      </c>
    </row>
    <row r="194" spans="1:14" ht="13">
      <c r="A194" s="5"/>
      <c r="B194" s="5"/>
      <c r="C194" s="5"/>
      <c r="D194" s="5"/>
      <c r="E194" s="5"/>
      <c r="G194" s="5" t="str">
        <f t="shared" si="8"/>
        <v>❌ FAILED: 6.4% - This person has probably not the right Codice Fiscale</v>
      </c>
      <c r="H194" s="6"/>
      <c r="I194" s="5" t="str">
        <f t="shared" si="0"/>
        <v>❌ FAIL - Wrong length (0/16 chars)</v>
      </c>
      <c r="J194" s="5" t="e">
        <f>_xlfn.LET(
  _xlpm.cf, UPPER(E194),
  _xlpm.data, D194,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94" s="5" t="e">
        <f t="shared" si="9"/>
        <v>#VALUE!</v>
      </c>
      <c r="L194" s="5" t="str">
        <f t="shared" si="10"/>
        <v xml:space="preserve">❌ FAIL - 8/50 points (1/6) - Expected: XXXXX, Found: </v>
      </c>
      <c r="M194" s="5" t="s">
        <v>24</v>
      </c>
      <c r="N194" s="5" t="s">
        <v>28</v>
      </c>
    </row>
    <row r="195" spans="1:14" ht="13">
      <c r="A195" s="5"/>
      <c r="B195" s="5"/>
      <c r="C195" s="5"/>
      <c r="D195" s="5"/>
      <c r="E195" s="5"/>
      <c r="G195" s="5" t="str">
        <f t="shared" ref="G195:G258" si="11">_xlfn.LET(
  _xlpm.check1_score, IF(ISNUMBER(SEARCH("✅", I195)), 10, 0),
  _xlpm.check2_score, IF(ISNUMBER(SEARCH("✅", J195)), 20, 0),
  _xlpm.check3_score, IF(ISNUMBER(SEARCH("✅", K195)), 10, 0),
  _xlpm.check4_score, IF(ISNUMBER(SEARCH("50/50", L195)), 40, IF(ISNUMBER(SEARCH("/50", L195)), VALUE(MID(L195, SEARCH("- ", L195) + 2, SEARCH("/50", L195) - SEARCH("- ", L195) - 2)) * 0.8, 0)),
  _xlpm.check5_score, IF(ISNUMBER(SEARCH("✅", M195)), 10, 0),
  _xlpm.check6_score, IF(ISNUMBER(SEARCH("✅", N195)), 10, 0),
  _xlpm.total_score,_xlfn.SINGLE( _xlpm.check1_score) +_xlfn.SINGLE( _xlpm.check2_score) +_xlfn.SINGLE( _xlpm.check3_score) +_xlfn.SINGLE( _xlpm.check4_score) +_xlfn.SINGLE( _xlpm.check5_score) +_xlfn.SINGLE( _xlpm.check6_score),
  _xlpm.failed_checks, 6 - (IF(_xlfn.SINGLE(_xlpm.check1_score)&gt;0,1,0) + IF(_xlfn.SINGLE(_xlpm.check2_score)&gt;0,1,0) + IF(_xlfn.SINGLE(_xlpm.check3_score)&gt;0,1,0) + IF(_xlfn.SINGLE(_xlpm.check4_score)&gt;=20,1,0) + IF(_xlfn.SINGLE(_xlpm.check5_score)&gt;0,1,0) + IF(_xlfn.SINGLE(_xlpm.check6_score)&gt;0,1,0)),
  _xlpm.length_fail,_xlfn.SINGLE( _xlpm.check1_score) = 0,
  IF(_xlfn.SINGLE(_xlpm.total_score) = 100,
    "🎯 PERFECT MATCH: 100% - Codice Fiscale is fully valid",
    IF(_xlfn.SINGLE(_xlpm.total_score) &gt;= 90,
      "✅ EXCELLENT: " &amp;_xlfn.SINGLE( _xlpm.total_score) &amp; "% - Very likely valid, minor verification recommended",
      IF(_xlfn.SINGLE(_xlpm.total_score) &gt;= 75,
        IF(AND(_xlfn.SINGLE(_xlpm.failed_checks) = 1, _xlpm.length_fail),
          "⚠️ SCORE: " &amp;_xlfn.SINGLE( _xlpm.total_score) &amp; "% - Check any typo in Codice Fiscale length (should be 16 characters)",
          "⚠️ SCORE: " &amp;_xlfn.SINGLE( _xlpm.total_score) &amp; "% - Not a perfect match, check for any typo"
        ),
        IF(_xlfn.SINGLE(_xlpm.total_score) &gt;= 50,
          "⚠️ SCORE: " &amp;_xlfn.SINGLE( _xlpm.total_score) &amp; "% - Significant issues detected, verify all data carefully",
          "❌ FAILED: " &amp;_xlfn.SINGLE( _xlpm.total_score) &amp; "% - This person has probably not the right Codice Fiscale"
        )
      )
    )
  )
)</f>
        <v>❌ FAILED: 6.4% - This person has probably not the right Codice Fiscale</v>
      </c>
      <c r="H195" s="6"/>
      <c r="I195" s="5" t="str">
        <f t="shared" si="0"/>
        <v>❌ FAIL - Wrong length (0/16 chars)</v>
      </c>
      <c r="J195" s="5" t="e">
        <f>_xlfn.LET(
  _xlpm.cf, UPPER(E195),
  _xlpm.data, D195,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95" s="5" t="e">
        <f t="shared" ref="K195:K258" si="12">_xlfn.LET(
  _xlpm.cf, UPPER(E195),
  _xlpm.gender_input, UPPER(C195),
  _xlpm.day_cf, VALUE(MID(_xlpm.cf, 10, 2)),
  _xlpm.cf_indicates_female, _xlpm.day_cf &gt; 40,
  _xlpm.input_is_female, _xlpm.gender_input = "FEMALE",
  _xlpm.gender_match, _xlpm.cf_indicates_female = _xlpm.input_is_female,
  IF(
    _xlpm.gender_match,
    "✅ PASS - Gender: " &amp; IF(_xlpm.input_is_female, "Female", "Male") &amp; " (day: " &amp; IF(_xlpm.cf_indicates_female, _xlpm.day_cf-40, _xlpm.day_cf) &amp; ")",
    "❌ FAIL - Gender mismatch: CF indicates " &amp;
      IF(_xlpm.cf_indicates_female, "Female (+40)", "Male") &amp;
      " (day: " &amp; IF(_xlpm.cf_indicates_female, _xlpm.day_cf-40, _xlpm.day_cf) &amp; ") but person is " &amp;
      IF(_xlpm.input_is_female, "Female", "Male")
  )
)</f>
        <v>#VALUE!</v>
      </c>
      <c r="L195" s="5" t="str">
        <f t="shared" si="10"/>
        <v xml:space="preserve">❌ FAIL - 8/50 points (1/6) - Expected: XXXXX, Found: </v>
      </c>
      <c r="M195" s="5" t="s">
        <v>24</v>
      </c>
      <c r="N195" s="5" t="s">
        <v>28</v>
      </c>
    </row>
    <row r="196" spans="1:14" ht="13">
      <c r="A196" s="5"/>
      <c r="B196" s="5"/>
      <c r="C196" s="5"/>
      <c r="D196" s="5"/>
      <c r="E196" s="5"/>
      <c r="G196" s="5" t="str">
        <f t="shared" si="11"/>
        <v>❌ FAILED: 6.4% - This person has probably not the right Codice Fiscale</v>
      </c>
      <c r="H196" s="6"/>
      <c r="I196" s="5" t="str">
        <f t="shared" si="0"/>
        <v>❌ FAIL - Wrong length (0/16 chars)</v>
      </c>
      <c r="J196" s="5" t="e">
        <f>_xlfn.LET(
  _xlpm.cf, UPPER(E196),
  _xlpm.data, D196,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96" s="5" t="e">
        <f t="shared" si="12"/>
        <v>#VALUE!</v>
      </c>
      <c r="L196" s="5" t="str">
        <f t="shared" si="10"/>
        <v xml:space="preserve">❌ FAIL - 8/50 points (1/6) - Expected: XXXXX, Found: </v>
      </c>
      <c r="M196" s="5" t="s">
        <v>24</v>
      </c>
      <c r="N196" s="5" t="s">
        <v>28</v>
      </c>
    </row>
    <row r="197" spans="1:14" ht="13">
      <c r="A197" s="5"/>
      <c r="B197" s="5"/>
      <c r="C197" s="5"/>
      <c r="D197" s="5"/>
      <c r="E197" s="5"/>
      <c r="G197" s="5" t="str">
        <f t="shared" si="11"/>
        <v>❌ FAILED: 6.4% - This person has probably not the right Codice Fiscale</v>
      </c>
      <c r="H197" s="6"/>
      <c r="I197" s="5" t="str">
        <f t="shared" si="0"/>
        <v>❌ FAIL - Wrong length (0/16 chars)</v>
      </c>
      <c r="J197" s="5" t="e">
        <f>_xlfn.LET(
  _xlpm.cf, UPPER(E197),
  _xlpm.data, D197,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97" s="5" t="e">
        <f t="shared" si="12"/>
        <v>#VALUE!</v>
      </c>
      <c r="L197" s="5" t="str">
        <f t="shared" ref="L197:L260" si="13">_xlfn.LET(
  _xlpm.cf_code, LEFT(UPPER(E197), 6),
  _xlpm.surname, UPPER(B197),
  _xlpm.name_clean, SUBSTITUTE(UPPER(A197), " ", ""),
  _xlpm.s_cons, SUBSTITUTE(SUBSTITUTE(SUBSTITUTE(SUBSTITUTE(SUBSTITUTE(_xlfn.SINGLE(_xlpm.surname), "A", ""), "E", ""), "I", ""), "O", ""), "U", ""),
  _xlpm.s_vowels, SUBSTITUTE(SUBSTITUTE(SUBSTITUTE(SUBSTITUTE(SUBSTITUTE(SUBSTITUTE(SUBSTITUTE(SUBSTITUTE(SUBSTITUTE(SUBSTITUTE(SUBSTITUTE(SUBSTITUTE(SUBSTITUTE(SUBSTITUTE(SUBSTITUTE(SUBSTITUTE(SUBSTITUTE(SUBSTITUTE(SUBSTITUTE(SUBSTITUTE(SUBSTITUTE(_xlfn.SINGLE(_xlpm.surname), "B", ""), "C", ""), "D", ""), "F", ""), "G", ""), "H", ""), "J", ""), "K", ""), "L", ""), "M", ""), "N", ""), "P", ""), "Q", ""), "R", ""), "S", ""), "T", ""), "V", ""), "W", ""), "X", ""), "Y", ""), "Z", ""),
  _xlpm.n_cons, SUBSTITUTE(SUBSTITUTE(SUBSTITUTE(SUBSTITUTE(SUBSTITUTE(_xlfn.SINGLE(_xlpm.name_clean), "A", ""), "E", ""), "I", ""), "O", ""), "U", ""),
  _xlpm.n_vowels, SUBSTITUTE(SUBSTITUTE(SUBSTITUTE(SUBSTITUTE(SUBSTITUTE(SUBSTITUTE(SUBSTITUTE(SUBSTITUTE(SUBSTITUTE(SUBSTITUTE(SUBSTITUTE(SUBSTITUTE(SUBSTITUTE(SUBSTITUTE(SUBSTITUTE(SUBSTITUTE(SUBSTITUTE(SUBSTITUTE(SUBSTITUTE(SUBSTITUTE(SUBSTITUTE(_xlfn.SINGLE(_xlpm.name_clean), "B", ""), "C", ""), "D", ""), "F", ""), "G", ""), "H", ""), "J", ""), "K", ""), "L", ""), "M", ""), "N", ""), "P", ""), "Q", ""), "R", ""), "S", ""), "T", ""), "V", ""), "W", ""), "X", ""), "Y", ""), "Z", ""),
  _xlpm.surname_code, IF(LEN(_xlfn.SINGLE(_xlpm.s_cons)) &gt;= 3, LEFT(_xlfn.SINGLE(_xlpm.s_cons), 3), IF(LEN(_xlfn.SINGLE(_xlpm.s_cons)) = 2,_xlfn.SINGLE( _xlpm.s_cons) &amp; LEFT(_xlfn.SINGLE(_xlpm.s_vowels), 1), IF(LEN(_xlfn.SINGLE(_xlpm.s_cons)) = 1, LEFT(_xlfn.SINGLE(_xlpm.s_cons) &amp;_xlfn.SINGLE( _xlpm.s_vowels) &amp; "XX", 3), LEFT(_xlfn.SINGLE(_xlpm.s_vowels) &amp; "XX", 3)))),
  _xlpm.name_code, IF(LEN(_xlfn.SINGLE(_xlpm.n_cons)) &gt;= 4,
    MID(_xlfn.SINGLE(_xlpm.n_cons),1,1) &amp; MID(_xlfn.SINGLE(_xlpm.n_cons),3,1) &amp; MID(_xlfn.SINGLE(_xlpm.n_cons),4,1),
    IF(LEN(_xlfn.SINGLE(_xlpm.n_cons)) = 3,
      LEFT(_xlfn.SINGLE(_xlpm.n_cons), 3),
      LEFT(_xlfn.SINGLE(_xlpm.n_cons) &amp;_xlfn.SINGLE( _xlpm.n_vowels) &amp; "XXX", 3)
    )
  ),
  _xlpm.expected,_xlfn.SINGLE( _xlpm.surname_code) &amp;_xlfn.SINGLE( _xlpm.name_code),
  _xlpm.matches, (IF(MID(_xlfn.SINGLE(_xlpm.expected),1,1)=MID(_xlfn.SINGLE(_xlpm.cf_code),1,1),1,0))+(IF(MID(_xlfn.SINGLE(_xlpm.expected),2,1)=MID(_xlfn.SINGLE(_xlpm.cf_code),2,1),1,0))+(IF(MID(_xlfn.SINGLE(_xlpm.expected),3,1)=MID(_xlfn.SINGLE(_xlpm.cf_code),3,1),1,0))+(IF(MID(_xlfn.SINGLE(_xlpm.expected),4,1)=MID(_xlfn.SINGLE(_xlpm.cf_code),4,1),1,0))+(IF(MID(_xlfn.SINGLE(_xlpm.expected),5,1)=MID(_xlfn.SINGLE(_xlpm.cf_code),5,1),1,0))+(IF(MID(_xlfn.SINGLE(_xlpm.expected),6,1)=MID(_xlfn.SINGLE(_xlpm.cf_code),6,1),1,0)),
  IF(_xlfn.SINGLE(_xlpm.matches)=6, "✅ PASS - 50/50 points", "❌ FAIL - " &amp; ROUND(_xlfn.SINGLE(_xlpm.matches)/6*50,0) &amp; "/50 points (" &amp;_xlfn.SINGLE( _xlpm.matches) &amp; "/6) - Expected: " &amp;_xlfn.SINGLE( _xlpm.expected) &amp; ", Found: " &amp;_xlfn.SINGLE( _xlpm.cf_code))
)</f>
        <v xml:space="preserve">❌ FAIL - 8/50 points (1/6) - Expected: XXXXX, Found: </v>
      </c>
      <c r="M197" s="5" t="s">
        <v>24</v>
      </c>
      <c r="N197" s="5" t="s">
        <v>28</v>
      </c>
    </row>
    <row r="198" spans="1:14" ht="13">
      <c r="A198" s="5"/>
      <c r="B198" s="5"/>
      <c r="C198" s="5"/>
      <c r="D198" s="5"/>
      <c r="E198" s="5"/>
      <c r="G198" s="5" t="str">
        <f t="shared" si="11"/>
        <v>❌ FAILED: 6.4% - This person has probably not the right Codice Fiscale</v>
      </c>
      <c r="H198" s="6"/>
      <c r="I198" s="5" t="str">
        <f t="shared" si="0"/>
        <v>❌ FAIL - Wrong length (0/16 chars)</v>
      </c>
      <c r="J198" s="5" t="e">
        <f>_xlfn.LET(
  _xlpm.cf, UPPER(E198),
  _xlpm.data, D198,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98" s="5" t="e">
        <f t="shared" si="12"/>
        <v>#VALUE!</v>
      </c>
      <c r="L198" s="5" t="str">
        <f t="shared" si="13"/>
        <v xml:space="preserve">❌ FAIL - 8/50 points (1/6) - Expected: XXXXX, Found: </v>
      </c>
      <c r="M198" s="5" t="s">
        <v>24</v>
      </c>
      <c r="N198" s="5" t="s">
        <v>28</v>
      </c>
    </row>
    <row r="199" spans="1:14" ht="13">
      <c r="A199" s="5"/>
      <c r="B199" s="5"/>
      <c r="C199" s="5"/>
      <c r="D199" s="5"/>
      <c r="E199" s="5"/>
      <c r="G199" s="5" t="str">
        <f t="shared" si="11"/>
        <v>❌ FAILED: 6.4% - This person has probably not the right Codice Fiscale</v>
      </c>
      <c r="H199" s="6"/>
      <c r="I199" s="5" t="str">
        <f t="shared" si="0"/>
        <v>❌ FAIL - Wrong length (0/16 chars)</v>
      </c>
      <c r="J199" s="5" t="e">
        <f>_xlfn.LET(
  _xlpm.cf, UPPER(E199),
  _xlpm.data, D199,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199" s="5" t="e">
        <f t="shared" si="12"/>
        <v>#VALUE!</v>
      </c>
      <c r="L199" s="5" t="str">
        <f t="shared" si="13"/>
        <v xml:space="preserve">❌ FAIL - 8/50 points (1/6) - Expected: XXXXX, Found: </v>
      </c>
      <c r="M199" s="5" t="s">
        <v>24</v>
      </c>
      <c r="N199" s="5" t="s">
        <v>28</v>
      </c>
    </row>
    <row r="200" spans="1:14" ht="13">
      <c r="A200" s="5"/>
      <c r="B200" s="5"/>
      <c r="C200" s="5"/>
      <c r="D200" s="5"/>
      <c r="E200" s="5"/>
      <c r="G200" s="5" t="str">
        <f t="shared" si="11"/>
        <v>❌ FAILED: 6.4% - This person has probably not the right Codice Fiscale</v>
      </c>
      <c r="H200" s="6"/>
      <c r="I200" s="5" t="str">
        <f t="shared" si="0"/>
        <v>❌ FAIL - Wrong length (0/16 chars)</v>
      </c>
      <c r="J200" s="5" t="e">
        <f>_xlfn.LET(
  _xlpm.cf, UPPER(E200),
  _xlpm.data, D200,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00" s="5" t="e">
        <f t="shared" si="12"/>
        <v>#VALUE!</v>
      </c>
      <c r="L200" s="5" t="str">
        <f t="shared" si="13"/>
        <v xml:space="preserve">❌ FAIL - 8/50 points (1/6) - Expected: XXXXX, Found: </v>
      </c>
      <c r="M200" s="5" t="s">
        <v>24</v>
      </c>
      <c r="N200" s="5" t="s">
        <v>28</v>
      </c>
    </row>
    <row r="201" spans="1:14" ht="13">
      <c r="A201" s="5"/>
      <c r="B201" s="5"/>
      <c r="C201" s="5"/>
      <c r="D201" s="5"/>
      <c r="E201" s="5"/>
      <c r="G201" s="5" t="str">
        <f t="shared" si="11"/>
        <v>❌ FAILED: 6.4% - This person has probably not the right Codice Fiscale</v>
      </c>
      <c r="H201" s="6"/>
      <c r="I201" s="5" t="str">
        <f t="shared" si="0"/>
        <v>❌ FAIL - Wrong length (0/16 chars)</v>
      </c>
      <c r="J201" s="5" t="e">
        <f>_xlfn.LET(
  _xlpm.cf, UPPER(E201),
  _xlpm.data, D201,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01" s="5" t="e">
        <f t="shared" si="12"/>
        <v>#VALUE!</v>
      </c>
      <c r="L201" s="5" t="str">
        <f t="shared" si="13"/>
        <v xml:space="preserve">❌ FAIL - 8/50 points (1/6) - Expected: XXXXX, Found: </v>
      </c>
      <c r="M201" s="5" t="s">
        <v>24</v>
      </c>
      <c r="N201" s="5" t="s">
        <v>28</v>
      </c>
    </row>
    <row r="202" spans="1:14" ht="13">
      <c r="A202" s="5"/>
      <c r="B202" s="5"/>
      <c r="C202" s="5"/>
      <c r="D202" s="5"/>
      <c r="E202" s="5"/>
      <c r="G202" s="5" t="str">
        <f t="shared" si="11"/>
        <v>❌ FAILED: 6.4% - This person has probably not the right Codice Fiscale</v>
      </c>
      <c r="H202" s="6"/>
      <c r="I202" s="5" t="str">
        <f t="shared" si="0"/>
        <v>❌ FAIL - Wrong length (0/16 chars)</v>
      </c>
      <c r="J202" s="5" t="e">
        <f>_xlfn.LET(
  _xlpm.cf, UPPER(E202),
  _xlpm.data, D202,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02" s="5" t="e">
        <f t="shared" si="12"/>
        <v>#VALUE!</v>
      </c>
      <c r="L202" s="5" t="str">
        <f t="shared" si="13"/>
        <v xml:space="preserve">❌ FAIL - 8/50 points (1/6) - Expected: XXXXX, Found: </v>
      </c>
      <c r="M202" s="5" t="s">
        <v>24</v>
      </c>
      <c r="N202" s="5" t="s">
        <v>28</v>
      </c>
    </row>
    <row r="203" spans="1:14" ht="13">
      <c r="A203" s="5"/>
      <c r="B203" s="5"/>
      <c r="C203" s="5"/>
      <c r="D203" s="5"/>
      <c r="E203" s="5"/>
      <c r="G203" s="5" t="str">
        <f t="shared" si="11"/>
        <v>❌ FAILED: 6.4% - This person has probably not the right Codice Fiscale</v>
      </c>
      <c r="H203" s="6"/>
      <c r="I203" s="5" t="str">
        <f t="shared" si="0"/>
        <v>❌ FAIL - Wrong length (0/16 chars)</v>
      </c>
      <c r="J203" s="5" t="e">
        <f>_xlfn.LET(
  _xlpm.cf, UPPER(E203),
  _xlpm.data, D203,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03" s="5" t="e">
        <f t="shared" si="12"/>
        <v>#VALUE!</v>
      </c>
      <c r="L203" s="5" t="str">
        <f t="shared" si="13"/>
        <v xml:space="preserve">❌ FAIL - 8/50 points (1/6) - Expected: XXXXX, Found: </v>
      </c>
      <c r="M203" s="5" t="s">
        <v>24</v>
      </c>
      <c r="N203" s="5" t="s">
        <v>28</v>
      </c>
    </row>
    <row r="204" spans="1:14" ht="13">
      <c r="A204" s="5"/>
      <c r="B204" s="5"/>
      <c r="C204" s="5"/>
      <c r="D204" s="5"/>
      <c r="E204" s="5"/>
      <c r="G204" s="5" t="str">
        <f t="shared" si="11"/>
        <v>❌ FAILED: 6.4% - This person has probably not the right Codice Fiscale</v>
      </c>
      <c r="H204" s="6"/>
      <c r="I204" s="5" t="str">
        <f t="shared" si="0"/>
        <v>❌ FAIL - Wrong length (0/16 chars)</v>
      </c>
      <c r="J204" s="5" t="e">
        <f>_xlfn.LET(
  _xlpm.cf, UPPER(E204),
  _xlpm.data, D204,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04" s="5" t="e">
        <f t="shared" si="12"/>
        <v>#VALUE!</v>
      </c>
      <c r="L204" s="5" t="str">
        <f t="shared" si="13"/>
        <v xml:space="preserve">❌ FAIL - 8/50 points (1/6) - Expected: XXXXX, Found: </v>
      </c>
      <c r="M204" s="5" t="s">
        <v>24</v>
      </c>
      <c r="N204" s="5" t="s">
        <v>28</v>
      </c>
    </row>
    <row r="205" spans="1:14" ht="13">
      <c r="A205" s="5"/>
      <c r="B205" s="5"/>
      <c r="C205" s="5"/>
      <c r="D205" s="5"/>
      <c r="E205" s="5"/>
      <c r="G205" s="5" t="str">
        <f t="shared" si="11"/>
        <v>❌ FAILED: 6.4% - This person has probably not the right Codice Fiscale</v>
      </c>
      <c r="H205" s="6"/>
      <c r="I205" s="5" t="str">
        <f t="shared" si="0"/>
        <v>❌ FAIL - Wrong length (0/16 chars)</v>
      </c>
      <c r="J205" s="5" t="e">
        <f>_xlfn.LET(
  _xlpm.cf, UPPER(E205),
  _xlpm.data, D205,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05" s="5" t="e">
        <f t="shared" si="12"/>
        <v>#VALUE!</v>
      </c>
      <c r="L205" s="5" t="str">
        <f t="shared" si="13"/>
        <v xml:space="preserve">❌ FAIL - 8/50 points (1/6) - Expected: XXXXX, Found: </v>
      </c>
      <c r="M205" s="5" t="s">
        <v>24</v>
      </c>
      <c r="N205" s="5" t="s">
        <v>28</v>
      </c>
    </row>
    <row r="206" spans="1:14" ht="13">
      <c r="A206" s="5"/>
      <c r="B206" s="5"/>
      <c r="C206" s="5"/>
      <c r="D206" s="5"/>
      <c r="E206" s="5"/>
      <c r="G206" s="5" t="str">
        <f t="shared" si="11"/>
        <v>❌ FAILED: 6.4% - This person has probably not the right Codice Fiscale</v>
      </c>
      <c r="H206" s="6"/>
      <c r="I206" s="5" t="str">
        <f t="shared" si="0"/>
        <v>❌ FAIL - Wrong length (0/16 chars)</v>
      </c>
      <c r="J206" s="5" t="e">
        <f>_xlfn.LET(
  _xlpm.cf, UPPER(E206),
  _xlpm.data, D206,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06" s="5" t="e">
        <f t="shared" si="12"/>
        <v>#VALUE!</v>
      </c>
      <c r="L206" s="5" t="str">
        <f t="shared" si="13"/>
        <v xml:space="preserve">❌ FAIL - 8/50 points (1/6) - Expected: XXXXX, Found: </v>
      </c>
      <c r="M206" s="5" t="s">
        <v>24</v>
      </c>
      <c r="N206" s="5" t="s">
        <v>28</v>
      </c>
    </row>
    <row r="207" spans="1:14" ht="13">
      <c r="A207" s="5"/>
      <c r="B207" s="5"/>
      <c r="C207" s="5"/>
      <c r="D207" s="5"/>
      <c r="E207" s="5"/>
      <c r="G207" s="5" t="str">
        <f t="shared" si="11"/>
        <v>❌ FAILED: 6.4% - This person has probably not the right Codice Fiscale</v>
      </c>
      <c r="H207" s="6"/>
      <c r="I207" s="5" t="str">
        <f t="shared" si="0"/>
        <v>❌ FAIL - Wrong length (0/16 chars)</v>
      </c>
      <c r="J207" s="5" t="e">
        <f>_xlfn.LET(
  _xlpm.cf, UPPER(E207),
  _xlpm.data, D207,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07" s="5" t="e">
        <f t="shared" si="12"/>
        <v>#VALUE!</v>
      </c>
      <c r="L207" s="5" t="str">
        <f t="shared" si="13"/>
        <v xml:space="preserve">❌ FAIL - 8/50 points (1/6) - Expected: XXXXX, Found: </v>
      </c>
      <c r="M207" s="5" t="s">
        <v>24</v>
      </c>
      <c r="N207" s="5" t="s">
        <v>28</v>
      </c>
    </row>
    <row r="208" spans="1:14" ht="13">
      <c r="A208" s="5"/>
      <c r="B208" s="5"/>
      <c r="C208" s="5"/>
      <c r="D208" s="5"/>
      <c r="E208" s="5"/>
      <c r="G208" s="5" t="str">
        <f t="shared" si="11"/>
        <v>❌ FAILED: 6.4% - This person has probably not the right Codice Fiscale</v>
      </c>
      <c r="H208" s="6"/>
      <c r="I208" s="5" t="str">
        <f t="shared" si="0"/>
        <v>❌ FAIL - Wrong length (0/16 chars)</v>
      </c>
      <c r="J208" s="5" t="e">
        <f>_xlfn.LET(
  _xlpm.cf, UPPER(E208),
  _xlpm.data, D208,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08" s="5" t="e">
        <f t="shared" si="12"/>
        <v>#VALUE!</v>
      </c>
      <c r="L208" s="5" t="str">
        <f t="shared" si="13"/>
        <v xml:space="preserve">❌ FAIL - 8/50 points (1/6) - Expected: XXXXX, Found: </v>
      </c>
      <c r="M208" s="5" t="s">
        <v>24</v>
      </c>
      <c r="N208" s="5" t="s">
        <v>28</v>
      </c>
    </row>
    <row r="209" spans="1:14" ht="13">
      <c r="A209" s="5"/>
      <c r="B209" s="5"/>
      <c r="C209" s="5"/>
      <c r="D209" s="5"/>
      <c r="E209" s="5"/>
      <c r="G209" s="5" t="str">
        <f t="shared" si="11"/>
        <v>❌ FAILED: 6.4% - This person has probably not the right Codice Fiscale</v>
      </c>
      <c r="H209" s="6"/>
      <c r="I209" s="5" t="str">
        <f t="shared" si="0"/>
        <v>❌ FAIL - Wrong length (0/16 chars)</v>
      </c>
      <c r="J209" s="5" t="e">
        <f>_xlfn.LET(
  _xlpm.cf, UPPER(E209),
  _xlpm.data, D209,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09" s="5" t="e">
        <f t="shared" si="12"/>
        <v>#VALUE!</v>
      </c>
      <c r="L209" s="5" t="str">
        <f t="shared" si="13"/>
        <v xml:space="preserve">❌ FAIL - 8/50 points (1/6) - Expected: XXXXX, Found: </v>
      </c>
      <c r="M209" s="5" t="s">
        <v>24</v>
      </c>
      <c r="N209" s="5" t="s">
        <v>28</v>
      </c>
    </row>
    <row r="210" spans="1:14" ht="13">
      <c r="A210" s="5"/>
      <c r="B210" s="5"/>
      <c r="C210" s="5"/>
      <c r="D210" s="5"/>
      <c r="E210" s="5"/>
      <c r="G210" s="5" t="str">
        <f t="shared" si="11"/>
        <v>❌ FAILED: 6.4% - This person has probably not the right Codice Fiscale</v>
      </c>
      <c r="H210" s="6"/>
      <c r="I210" s="5" t="str">
        <f t="shared" si="0"/>
        <v>❌ FAIL - Wrong length (0/16 chars)</v>
      </c>
      <c r="J210" s="5" t="e">
        <f>_xlfn.LET(
  _xlpm.cf, UPPER(E210),
  _xlpm.data, D210,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10" s="5" t="e">
        <f t="shared" si="12"/>
        <v>#VALUE!</v>
      </c>
      <c r="L210" s="5" t="str">
        <f t="shared" si="13"/>
        <v xml:space="preserve">❌ FAIL - 8/50 points (1/6) - Expected: XXXXX, Found: </v>
      </c>
      <c r="M210" s="5" t="s">
        <v>24</v>
      </c>
      <c r="N210" s="5" t="s">
        <v>28</v>
      </c>
    </row>
    <row r="211" spans="1:14" ht="13">
      <c r="A211" s="5"/>
      <c r="B211" s="5"/>
      <c r="C211" s="5"/>
      <c r="D211" s="5"/>
      <c r="E211" s="5"/>
      <c r="G211" s="5" t="str">
        <f t="shared" si="11"/>
        <v>❌ FAILED: 6.4% - This person has probably not the right Codice Fiscale</v>
      </c>
      <c r="H211" s="6"/>
      <c r="I211" s="5" t="str">
        <f t="shared" si="0"/>
        <v>❌ FAIL - Wrong length (0/16 chars)</v>
      </c>
      <c r="J211" s="5" t="e">
        <f>_xlfn.LET(
  _xlpm.cf, UPPER(E211),
  _xlpm.data, D211,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11" s="5" t="e">
        <f t="shared" si="12"/>
        <v>#VALUE!</v>
      </c>
      <c r="L211" s="5" t="str">
        <f t="shared" si="13"/>
        <v xml:space="preserve">❌ FAIL - 8/50 points (1/6) - Expected: XXXXX, Found: </v>
      </c>
      <c r="M211" s="5" t="s">
        <v>24</v>
      </c>
      <c r="N211" s="5" t="s">
        <v>28</v>
      </c>
    </row>
    <row r="212" spans="1:14" ht="13">
      <c r="A212" s="5"/>
      <c r="B212" s="5"/>
      <c r="C212" s="5"/>
      <c r="D212" s="5"/>
      <c r="E212" s="5"/>
      <c r="G212" s="5" t="str">
        <f t="shared" si="11"/>
        <v>❌ FAILED: 6.4% - This person has probably not the right Codice Fiscale</v>
      </c>
      <c r="H212" s="6"/>
      <c r="I212" s="5" t="str">
        <f t="shared" si="0"/>
        <v>❌ FAIL - Wrong length (0/16 chars)</v>
      </c>
      <c r="J212" s="5" t="e">
        <f>_xlfn.LET(
  _xlpm.cf, UPPER(E212),
  _xlpm.data, D212,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12" s="5" t="e">
        <f t="shared" si="12"/>
        <v>#VALUE!</v>
      </c>
      <c r="L212" s="5" t="str">
        <f t="shared" si="13"/>
        <v xml:space="preserve">❌ FAIL - 8/50 points (1/6) - Expected: XXXXX, Found: </v>
      </c>
      <c r="M212" s="5" t="s">
        <v>24</v>
      </c>
      <c r="N212" s="5" t="s">
        <v>28</v>
      </c>
    </row>
    <row r="213" spans="1:14" ht="13">
      <c r="A213" s="5"/>
      <c r="B213" s="5"/>
      <c r="C213" s="5"/>
      <c r="D213" s="5"/>
      <c r="E213" s="5"/>
      <c r="G213" s="5" t="str">
        <f t="shared" si="11"/>
        <v>❌ FAILED: 6.4% - This person has probably not the right Codice Fiscale</v>
      </c>
      <c r="H213" s="6"/>
      <c r="I213" s="5" t="str">
        <f t="shared" si="0"/>
        <v>❌ FAIL - Wrong length (0/16 chars)</v>
      </c>
      <c r="J213" s="5" t="e">
        <f>_xlfn.LET(
  _xlpm.cf, UPPER(E213),
  _xlpm.data, D213,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13" s="5" t="e">
        <f t="shared" si="12"/>
        <v>#VALUE!</v>
      </c>
      <c r="L213" s="5" t="str">
        <f t="shared" si="13"/>
        <v xml:space="preserve">❌ FAIL - 8/50 points (1/6) - Expected: XXXXX, Found: </v>
      </c>
      <c r="M213" s="5" t="s">
        <v>24</v>
      </c>
      <c r="N213" s="5" t="s">
        <v>28</v>
      </c>
    </row>
    <row r="214" spans="1:14" ht="13">
      <c r="A214" s="5"/>
      <c r="B214" s="5"/>
      <c r="C214" s="5"/>
      <c r="D214" s="5"/>
      <c r="E214" s="5"/>
      <c r="G214" s="5" t="str">
        <f t="shared" si="11"/>
        <v>❌ FAILED: 6.4% - This person has probably not the right Codice Fiscale</v>
      </c>
      <c r="H214" s="6"/>
      <c r="I214" s="5" t="str">
        <f t="shared" si="0"/>
        <v>❌ FAIL - Wrong length (0/16 chars)</v>
      </c>
      <c r="J214" s="5" t="e">
        <f>_xlfn.LET(
  _xlpm.cf, UPPER(E214),
  _xlpm.data, D214,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14" s="5" t="e">
        <f t="shared" si="12"/>
        <v>#VALUE!</v>
      </c>
      <c r="L214" s="5" t="str">
        <f t="shared" si="13"/>
        <v xml:space="preserve">❌ FAIL - 8/50 points (1/6) - Expected: XXXXX, Found: </v>
      </c>
      <c r="M214" s="5" t="s">
        <v>24</v>
      </c>
      <c r="N214" s="5" t="s">
        <v>28</v>
      </c>
    </row>
    <row r="215" spans="1:14" ht="13">
      <c r="A215" s="5"/>
      <c r="B215" s="5"/>
      <c r="C215" s="5"/>
      <c r="D215" s="5"/>
      <c r="E215" s="5"/>
      <c r="G215" s="5" t="str">
        <f t="shared" si="11"/>
        <v>❌ FAILED: 6.4% - This person has probably not the right Codice Fiscale</v>
      </c>
      <c r="H215" s="6"/>
      <c r="I215" s="5" t="str">
        <f t="shared" si="0"/>
        <v>❌ FAIL - Wrong length (0/16 chars)</v>
      </c>
      <c r="J215" s="5" t="e">
        <f>_xlfn.LET(
  _xlpm.cf, UPPER(E215),
  _xlpm.data, D215,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15" s="5" t="e">
        <f t="shared" si="12"/>
        <v>#VALUE!</v>
      </c>
      <c r="L215" s="5" t="str">
        <f t="shared" si="13"/>
        <v xml:space="preserve">❌ FAIL - 8/50 points (1/6) - Expected: XXXXX, Found: </v>
      </c>
      <c r="M215" s="5" t="s">
        <v>24</v>
      </c>
      <c r="N215" s="5" t="s">
        <v>28</v>
      </c>
    </row>
    <row r="216" spans="1:14" ht="13">
      <c r="A216" s="5"/>
      <c r="B216" s="5"/>
      <c r="C216" s="5"/>
      <c r="D216" s="5"/>
      <c r="E216" s="5"/>
      <c r="G216" s="5" t="str">
        <f t="shared" si="11"/>
        <v>❌ FAILED: 6.4% - This person has probably not the right Codice Fiscale</v>
      </c>
      <c r="H216" s="6"/>
      <c r="I216" s="5" t="str">
        <f t="shared" si="0"/>
        <v>❌ FAIL - Wrong length (0/16 chars)</v>
      </c>
      <c r="J216" s="5" t="e">
        <f>_xlfn.LET(
  _xlpm.cf, UPPER(E216),
  _xlpm.data, D216,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16" s="5" t="e">
        <f t="shared" si="12"/>
        <v>#VALUE!</v>
      </c>
      <c r="L216" s="5" t="str">
        <f t="shared" si="13"/>
        <v xml:space="preserve">❌ FAIL - 8/50 points (1/6) - Expected: XXXXX, Found: </v>
      </c>
      <c r="M216" s="5" t="s">
        <v>24</v>
      </c>
      <c r="N216" s="5" t="s">
        <v>28</v>
      </c>
    </row>
    <row r="217" spans="1:14" ht="13">
      <c r="A217" s="5"/>
      <c r="B217" s="5"/>
      <c r="C217" s="5"/>
      <c r="D217" s="5"/>
      <c r="E217" s="5"/>
      <c r="G217" s="5" t="str">
        <f t="shared" si="11"/>
        <v>❌ FAILED: 6.4% - This person has probably not the right Codice Fiscale</v>
      </c>
      <c r="H217" s="6"/>
      <c r="I217" s="5" t="str">
        <f t="shared" si="0"/>
        <v>❌ FAIL - Wrong length (0/16 chars)</v>
      </c>
      <c r="J217" s="5" t="e">
        <f>_xlfn.LET(
  _xlpm.cf, UPPER(E217),
  _xlpm.data, D217,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17" s="5" t="e">
        <f t="shared" si="12"/>
        <v>#VALUE!</v>
      </c>
      <c r="L217" s="5" t="str">
        <f t="shared" si="13"/>
        <v xml:space="preserve">❌ FAIL - 8/50 points (1/6) - Expected: XXXXX, Found: </v>
      </c>
      <c r="M217" s="5" t="s">
        <v>24</v>
      </c>
      <c r="N217" s="5" t="s">
        <v>28</v>
      </c>
    </row>
    <row r="218" spans="1:14" ht="13">
      <c r="A218" s="5"/>
      <c r="B218" s="5"/>
      <c r="C218" s="5"/>
      <c r="D218" s="5"/>
      <c r="E218" s="5"/>
      <c r="G218" s="5" t="str">
        <f t="shared" si="11"/>
        <v>❌ FAILED: 6.4% - This person has probably not the right Codice Fiscale</v>
      </c>
      <c r="H218" s="6"/>
      <c r="I218" s="5" t="str">
        <f t="shared" si="0"/>
        <v>❌ FAIL - Wrong length (0/16 chars)</v>
      </c>
      <c r="J218" s="5" t="e">
        <f>_xlfn.LET(
  _xlpm.cf, UPPER(E218),
  _xlpm.data, D218,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18" s="5" t="e">
        <f t="shared" si="12"/>
        <v>#VALUE!</v>
      </c>
      <c r="L218" s="5" t="str">
        <f t="shared" si="13"/>
        <v xml:space="preserve">❌ FAIL - 8/50 points (1/6) - Expected: XXXXX, Found: </v>
      </c>
      <c r="M218" s="5" t="s">
        <v>24</v>
      </c>
      <c r="N218" s="5" t="s">
        <v>28</v>
      </c>
    </row>
    <row r="219" spans="1:14" ht="13">
      <c r="A219" s="5"/>
      <c r="B219" s="5"/>
      <c r="C219" s="5"/>
      <c r="D219" s="5"/>
      <c r="E219" s="5"/>
      <c r="G219" s="5" t="str">
        <f t="shared" si="11"/>
        <v>❌ FAILED: 6.4% - This person has probably not the right Codice Fiscale</v>
      </c>
      <c r="H219" s="6"/>
      <c r="I219" s="5" t="str">
        <f t="shared" si="0"/>
        <v>❌ FAIL - Wrong length (0/16 chars)</v>
      </c>
      <c r="J219" s="5" t="e">
        <f>_xlfn.LET(
  _xlpm.cf, UPPER(E219),
  _xlpm.data, D219,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19" s="5" t="e">
        <f t="shared" si="12"/>
        <v>#VALUE!</v>
      </c>
      <c r="L219" s="5" t="str">
        <f t="shared" si="13"/>
        <v xml:space="preserve">❌ FAIL - 8/50 points (1/6) - Expected: XXXXX, Found: </v>
      </c>
      <c r="M219" s="5" t="s">
        <v>24</v>
      </c>
      <c r="N219" s="5" t="s">
        <v>28</v>
      </c>
    </row>
    <row r="220" spans="1:14" ht="13">
      <c r="A220" s="5"/>
      <c r="B220" s="5"/>
      <c r="C220" s="5"/>
      <c r="D220" s="5"/>
      <c r="E220" s="5"/>
      <c r="G220" s="5" t="str">
        <f t="shared" si="11"/>
        <v>❌ FAILED: 6.4% - This person has probably not the right Codice Fiscale</v>
      </c>
      <c r="H220" s="6"/>
      <c r="I220" s="5" t="str">
        <f t="shared" si="0"/>
        <v>❌ FAIL - Wrong length (0/16 chars)</v>
      </c>
      <c r="J220" s="5" t="e">
        <f>_xlfn.LET(
  _xlpm.cf, UPPER(E220),
  _xlpm.data, D220,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20" s="5" t="e">
        <f t="shared" si="12"/>
        <v>#VALUE!</v>
      </c>
      <c r="L220" s="5" t="str">
        <f t="shared" si="13"/>
        <v xml:space="preserve">❌ FAIL - 8/50 points (1/6) - Expected: XXXXX, Found: </v>
      </c>
      <c r="M220" s="5" t="s">
        <v>24</v>
      </c>
      <c r="N220" s="5" t="s">
        <v>28</v>
      </c>
    </row>
    <row r="221" spans="1:14" ht="13">
      <c r="A221" s="5"/>
      <c r="B221" s="5"/>
      <c r="C221" s="5"/>
      <c r="D221" s="5"/>
      <c r="E221" s="5"/>
      <c r="G221" s="5" t="str">
        <f t="shared" si="11"/>
        <v>❌ FAILED: 6.4% - This person has probably not the right Codice Fiscale</v>
      </c>
      <c r="H221" s="6"/>
      <c r="I221" s="5" t="str">
        <f t="shared" si="0"/>
        <v>❌ FAIL - Wrong length (0/16 chars)</v>
      </c>
      <c r="J221" s="5" t="e">
        <f>_xlfn.LET(
  _xlpm.cf, UPPER(E221),
  _xlpm.data, D221,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21" s="5" t="e">
        <f t="shared" si="12"/>
        <v>#VALUE!</v>
      </c>
      <c r="L221" s="5" t="str">
        <f t="shared" si="13"/>
        <v xml:space="preserve">❌ FAIL - 8/50 points (1/6) - Expected: XXXXX, Found: </v>
      </c>
      <c r="M221" s="5" t="s">
        <v>24</v>
      </c>
      <c r="N221" s="5" t="s">
        <v>28</v>
      </c>
    </row>
    <row r="222" spans="1:14" ht="13">
      <c r="A222" s="5"/>
      <c r="B222" s="5"/>
      <c r="C222" s="5"/>
      <c r="D222" s="5"/>
      <c r="E222" s="5"/>
      <c r="G222" s="5" t="str">
        <f t="shared" si="11"/>
        <v>❌ FAILED: 6.4% - This person has probably not the right Codice Fiscale</v>
      </c>
      <c r="H222" s="6"/>
      <c r="I222" s="5" t="str">
        <f t="shared" si="0"/>
        <v>❌ FAIL - Wrong length (0/16 chars)</v>
      </c>
      <c r="J222" s="5" t="e">
        <f>_xlfn.LET(
  _xlpm.cf, UPPER(E222),
  _xlpm.data, D222,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22" s="5" t="e">
        <f t="shared" si="12"/>
        <v>#VALUE!</v>
      </c>
      <c r="L222" s="5" t="str">
        <f t="shared" si="13"/>
        <v xml:space="preserve">❌ FAIL - 8/50 points (1/6) - Expected: XXXXX, Found: </v>
      </c>
      <c r="M222" s="5" t="s">
        <v>24</v>
      </c>
      <c r="N222" s="5" t="s">
        <v>28</v>
      </c>
    </row>
    <row r="223" spans="1:14" ht="13">
      <c r="A223" s="5"/>
      <c r="B223" s="5"/>
      <c r="C223" s="5"/>
      <c r="D223" s="5"/>
      <c r="E223" s="5"/>
      <c r="G223" s="5" t="str">
        <f t="shared" si="11"/>
        <v>❌ FAILED: 6.4% - This person has probably not the right Codice Fiscale</v>
      </c>
      <c r="H223" s="6"/>
      <c r="I223" s="5" t="str">
        <f t="shared" si="0"/>
        <v>❌ FAIL - Wrong length (0/16 chars)</v>
      </c>
      <c r="J223" s="5" t="e">
        <f>_xlfn.LET(
  _xlpm.cf, UPPER(E223),
  _xlpm.data, D223,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23" s="5" t="e">
        <f t="shared" si="12"/>
        <v>#VALUE!</v>
      </c>
      <c r="L223" s="5" t="str">
        <f t="shared" si="13"/>
        <v xml:space="preserve">❌ FAIL - 8/50 points (1/6) - Expected: XXXXX, Found: </v>
      </c>
      <c r="M223" s="5" t="s">
        <v>24</v>
      </c>
      <c r="N223" s="5" t="s">
        <v>28</v>
      </c>
    </row>
    <row r="224" spans="1:14" ht="13">
      <c r="A224" s="5"/>
      <c r="B224" s="5"/>
      <c r="C224" s="5"/>
      <c r="D224" s="5"/>
      <c r="E224" s="5"/>
      <c r="G224" s="5" t="str">
        <f t="shared" si="11"/>
        <v>❌ FAILED: 6.4% - This person has probably not the right Codice Fiscale</v>
      </c>
      <c r="H224" s="6"/>
      <c r="I224" s="5" t="str">
        <f t="shared" si="0"/>
        <v>❌ FAIL - Wrong length (0/16 chars)</v>
      </c>
      <c r="J224" s="5" t="e">
        <f>_xlfn.LET(
  _xlpm.cf, UPPER(E224),
  _xlpm.data, D224,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24" s="5" t="e">
        <f t="shared" si="12"/>
        <v>#VALUE!</v>
      </c>
      <c r="L224" s="5" t="str">
        <f t="shared" si="13"/>
        <v xml:space="preserve">❌ FAIL - 8/50 points (1/6) - Expected: XXXXX, Found: </v>
      </c>
      <c r="M224" s="5" t="s">
        <v>24</v>
      </c>
      <c r="N224" s="5" t="s">
        <v>28</v>
      </c>
    </row>
    <row r="225" spans="1:14" ht="13">
      <c r="A225" s="5"/>
      <c r="B225" s="5"/>
      <c r="C225" s="5"/>
      <c r="D225" s="5"/>
      <c r="E225" s="5"/>
      <c r="G225" s="5" t="str">
        <f t="shared" si="11"/>
        <v>❌ FAILED: 6.4% - This person has probably not the right Codice Fiscale</v>
      </c>
      <c r="H225" s="6"/>
      <c r="I225" s="5" t="str">
        <f t="shared" si="0"/>
        <v>❌ FAIL - Wrong length (0/16 chars)</v>
      </c>
      <c r="J225" s="5" t="e">
        <f>_xlfn.LET(
  _xlpm.cf, UPPER(E225),
  _xlpm.data, D225,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25" s="5" t="e">
        <f t="shared" si="12"/>
        <v>#VALUE!</v>
      </c>
      <c r="L225" s="5" t="str">
        <f t="shared" si="13"/>
        <v xml:space="preserve">❌ FAIL - 8/50 points (1/6) - Expected: XXXXX, Found: </v>
      </c>
      <c r="M225" s="5" t="s">
        <v>24</v>
      </c>
      <c r="N225" s="5" t="s">
        <v>28</v>
      </c>
    </row>
    <row r="226" spans="1:14" ht="13">
      <c r="A226" s="5"/>
      <c r="B226" s="5"/>
      <c r="C226" s="5"/>
      <c r="D226" s="5"/>
      <c r="E226" s="5"/>
      <c r="G226" s="5" t="str">
        <f t="shared" si="11"/>
        <v>❌ FAILED: 6.4% - This person has probably not the right Codice Fiscale</v>
      </c>
      <c r="H226" s="6"/>
      <c r="I226" s="5" t="str">
        <f t="shared" si="0"/>
        <v>❌ FAIL - Wrong length (0/16 chars)</v>
      </c>
      <c r="J226" s="5" t="e">
        <f>_xlfn.LET(
  _xlpm.cf, UPPER(E226),
  _xlpm.data, D226,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26" s="5" t="e">
        <f t="shared" si="12"/>
        <v>#VALUE!</v>
      </c>
      <c r="L226" s="5" t="str">
        <f t="shared" si="13"/>
        <v xml:space="preserve">❌ FAIL - 8/50 points (1/6) - Expected: XXXXX, Found: </v>
      </c>
      <c r="M226" s="5" t="s">
        <v>24</v>
      </c>
      <c r="N226" s="5" t="s">
        <v>28</v>
      </c>
    </row>
    <row r="227" spans="1:14" ht="13">
      <c r="A227" s="5"/>
      <c r="B227" s="5"/>
      <c r="C227" s="5"/>
      <c r="D227" s="5"/>
      <c r="E227" s="5"/>
      <c r="G227" s="5" t="str">
        <f t="shared" si="11"/>
        <v>❌ FAILED: 6.4% - This person has probably not the right Codice Fiscale</v>
      </c>
      <c r="H227" s="6"/>
      <c r="I227" s="5" t="str">
        <f t="shared" si="0"/>
        <v>❌ FAIL - Wrong length (0/16 chars)</v>
      </c>
      <c r="J227" s="5" t="e">
        <f>_xlfn.LET(
  _xlpm.cf, UPPER(E227),
  _xlpm.data, D227,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27" s="5" t="e">
        <f t="shared" si="12"/>
        <v>#VALUE!</v>
      </c>
      <c r="L227" s="5" t="str">
        <f t="shared" si="13"/>
        <v xml:space="preserve">❌ FAIL - 8/50 points (1/6) - Expected: XXXXX, Found: </v>
      </c>
      <c r="M227" s="5" t="s">
        <v>24</v>
      </c>
      <c r="N227" s="5" t="s">
        <v>28</v>
      </c>
    </row>
    <row r="228" spans="1:14" ht="13">
      <c r="A228" s="5"/>
      <c r="B228" s="5"/>
      <c r="C228" s="5"/>
      <c r="D228" s="5"/>
      <c r="E228" s="5"/>
      <c r="G228" s="5" t="str">
        <f t="shared" si="11"/>
        <v>❌ FAILED: 6.4% - This person has probably not the right Codice Fiscale</v>
      </c>
      <c r="H228" s="6"/>
      <c r="I228" s="5" t="str">
        <f t="shared" si="0"/>
        <v>❌ FAIL - Wrong length (0/16 chars)</v>
      </c>
      <c r="J228" s="5" t="e">
        <f>_xlfn.LET(
  _xlpm.cf, UPPER(E228),
  _xlpm.data, D228,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28" s="5" t="e">
        <f t="shared" si="12"/>
        <v>#VALUE!</v>
      </c>
      <c r="L228" s="5" t="str">
        <f t="shared" si="13"/>
        <v xml:space="preserve">❌ FAIL - 8/50 points (1/6) - Expected: XXXXX, Found: </v>
      </c>
      <c r="M228" s="5" t="s">
        <v>24</v>
      </c>
      <c r="N228" s="5" t="s">
        <v>28</v>
      </c>
    </row>
    <row r="229" spans="1:14" ht="13">
      <c r="A229" s="5"/>
      <c r="B229" s="5"/>
      <c r="C229" s="5"/>
      <c r="D229" s="5"/>
      <c r="E229" s="5"/>
      <c r="G229" s="5" t="str">
        <f t="shared" si="11"/>
        <v>❌ FAILED: 6.4% - This person has probably not the right Codice Fiscale</v>
      </c>
      <c r="H229" s="6"/>
      <c r="I229" s="5" t="str">
        <f t="shared" si="0"/>
        <v>❌ FAIL - Wrong length (0/16 chars)</v>
      </c>
      <c r="J229" s="5" t="e">
        <f>_xlfn.LET(
  _xlpm.cf, UPPER(E229),
  _xlpm.data, D229,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29" s="5" t="e">
        <f t="shared" si="12"/>
        <v>#VALUE!</v>
      </c>
      <c r="L229" s="5" t="str">
        <f t="shared" si="13"/>
        <v xml:space="preserve">❌ FAIL - 8/50 points (1/6) - Expected: XXXXX, Found: </v>
      </c>
      <c r="M229" s="5" t="s">
        <v>24</v>
      </c>
      <c r="N229" s="5" t="s">
        <v>28</v>
      </c>
    </row>
    <row r="230" spans="1:14" ht="13">
      <c r="A230" s="5"/>
      <c r="B230" s="5"/>
      <c r="C230" s="5"/>
      <c r="D230" s="5"/>
      <c r="E230" s="5"/>
      <c r="G230" s="5" t="str">
        <f t="shared" si="11"/>
        <v>❌ FAILED: 6.4% - This person has probably not the right Codice Fiscale</v>
      </c>
      <c r="H230" s="6"/>
      <c r="I230" s="5" t="str">
        <f t="shared" si="0"/>
        <v>❌ FAIL - Wrong length (0/16 chars)</v>
      </c>
      <c r="J230" s="5" t="e">
        <f>_xlfn.LET(
  _xlpm.cf, UPPER(E230),
  _xlpm.data, D230,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30" s="5" t="e">
        <f t="shared" si="12"/>
        <v>#VALUE!</v>
      </c>
      <c r="L230" s="5" t="str">
        <f t="shared" si="13"/>
        <v xml:space="preserve">❌ FAIL - 8/50 points (1/6) - Expected: XXXXX, Found: </v>
      </c>
      <c r="M230" s="5" t="s">
        <v>24</v>
      </c>
      <c r="N230" s="5" t="s">
        <v>28</v>
      </c>
    </row>
    <row r="231" spans="1:14" ht="13">
      <c r="A231" s="5"/>
      <c r="B231" s="5"/>
      <c r="C231" s="5"/>
      <c r="D231" s="5"/>
      <c r="E231" s="5"/>
      <c r="G231" s="5" t="str">
        <f t="shared" si="11"/>
        <v>❌ FAILED: 6.4% - This person has probably not the right Codice Fiscale</v>
      </c>
      <c r="H231" s="6"/>
      <c r="I231" s="5" t="str">
        <f t="shared" si="0"/>
        <v>❌ FAIL - Wrong length (0/16 chars)</v>
      </c>
      <c r="J231" s="5" t="e">
        <f>_xlfn.LET(
  _xlpm.cf, UPPER(E231),
  _xlpm.data, D231,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31" s="5" t="e">
        <f t="shared" si="12"/>
        <v>#VALUE!</v>
      </c>
      <c r="L231" s="5" t="str">
        <f t="shared" si="13"/>
        <v xml:space="preserve">❌ FAIL - 8/50 points (1/6) - Expected: XXXXX, Found: </v>
      </c>
      <c r="M231" s="5" t="s">
        <v>24</v>
      </c>
      <c r="N231" s="5" t="s">
        <v>28</v>
      </c>
    </row>
    <row r="232" spans="1:14" ht="13">
      <c r="A232" s="5"/>
      <c r="B232" s="5"/>
      <c r="C232" s="5"/>
      <c r="D232" s="5"/>
      <c r="E232" s="5"/>
      <c r="G232" s="5" t="str">
        <f t="shared" si="11"/>
        <v>❌ FAILED: 6.4% - This person has probably not the right Codice Fiscale</v>
      </c>
      <c r="H232" s="6"/>
      <c r="I232" s="5" t="str">
        <f t="shared" si="0"/>
        <v>❌ FAIL - Wrong length (0/16 chars)</v>
      </c>
      <c r="J232" s="5" t="e">
        <f>_xlfn.LET(
  _xlpm.cf, UPPER(E232),
  _xlpm.data, D232,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32" s="5" t="e">
        <f t="shared" si="12"/>
        <v>#VALUE!</v>
      </c>
      <c r="L232" s="5" t="str">
        <f t="shared" si="13"/>
        <v xml:space="preserve">❌ FAIL - 8/50 points (1/6) - Expected: XXXXX, Found: </v>
      </c>
      <c r="M232" s="5" t="s">
        <v>24</v>
      </c>
      <c r="N232" s="5" t="s">
        <v>28</v>
      </c>
    </row>
    <row r="233" spans="1:14" ht="13">
      <c r="A233" s="5"/>
      <c r="B233" s="5"/>
      <c r="C233" s="5"/>
      <c r="D233" s="5"/>
      <c r="E233" s="5"/>
      <c r="G233" s="5" t="str">
        <f t="shared" si="11"/>
        <v>❌ FAILED: 6.4% - This person has probably not the right Codice Fiscale</v>
      </c>
      <c r="H233" s="6"/>
      <c r="I233" s="5" t="str">
        <f t="shared" si="0"/>
        <v>❌ FAIL - Wrong length (0/16 chars)</v>
      </c>
      <c r="J233" s="5" t="e">
        <f>_xlfn.LET(
  _xlpm.cf, UPPER(E233),
  _xlpm.data, D233,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33" s="5" t="e">
        <f t="shared" si="12"/>
        <v>#VALUE!</v>
      </c>
      <c r="L233" s="5" t="str">
        <f t="shared" si="13"/>
        <v xml:space="preserve">❌ FAIL - 8/50 points (1/6) - Expected: XXXXX, Found: </v>
      </c>
      <c r="M233" s="5" t="s">
        <v>24</v>
      </c>
      <c r="N233" s="5" t="s">
        <v>28</v>
      </c>
    </row>
    <row r="234" spans="1:14" ht="13">
      <c r="A234" s="5"/>
      <c r="B234" s="5"/>
      <c r="C234" s="5"/>
      <c r="D234" s="5"/>
      <c r="E234" s="5"/>
      <c r="G234" s="5" t="str">
        <f t="shared" si="11"/>
        <v>❌ FAILED: 6.4% - This person has probably not the right Codice Fiscale</v>
      </c>
      <c r="H234" s="6"/>
      <c r="I234" s="5" t="str">
        <f t="shared" si="0"/>
        <v>❌ FAIL - Wrong length (0/16 chars)</v>
      </c>
      <c r="J234" s="5" t="e">
        <f>_xlfn.LET(
  _xlpm.cf, UPPER(E234),
  _xlpm.data, D234,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34" s="5" t="e">
        <f t="shared" si="12"/>
        <v>#VALUE!</v>
      </c>
      <c r="L234" s="5" t="str">
        <f t="shared" si="13"/>
        <v xml:space="preserve">❌ FAIL - 8/50 points (1/6) - Expected: XXXXX, Found: </v>
      </c>
      <c r="M234" s="5" t="s">
        <v>24</v>
      </c>
      <c r="N234" s="5" t="s">
        <v>28</v>
      </c>
    </row>
    <row r="235" spans="1:14" ht="13">
      <c r="A235" s="5"/>
      <c r="B235" s="5"/>
      <c r="C235" s="5"/>
      <c r="D235" s="5"/>
      <c r="E235" s="5"/>
      <c r="G235" s="5" t="str">
        <f t="shared" si="11"/>
        <v>❌ FAILED: 6.4% - This person has probably not the right Codice Fiscale</v>
      </c>
      <c r="H235" s="6"/>
      <c r="I235" s="5" t="str">
        <f t="shared" si="0"/>
        <v>❌ FAIL - Wrong length (0/16 chars)</v>
      </c>
      <c r="J235" s="5" t="e">
        <f>_xlfn.LET(
  _xlpm.cf, UPPER(E235),
  _xlpm.data, D235,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35" s="5" t="e">
        <f t="shared" si="12"/>
        <v>#VALUE!</v>
      </c>
      <c r="L235" s="5" t="str">
        <f t="shared" si="13"/>
        <v xml:space="preserve">❌ FAIL - 8/50 points (1/6) - Expected: XXXXX, Found: </v>
      </c>
      <c r="M235" s="5" t="s">
        <v>24</v>
      </c>
      <c r="N235" s="5" t="s">
        <v>28</v>
      </c>
    </row>
    <row r="236" spans="1:14" ht="13">
      <c r="A236" s="5"/>
      <c r="B236" s="5"/>
      <c r="C236" s="5"/>
      <c r="D236" s="5"/>
      <c r="E236" s="5"/>
      <c r="G236" s="5" t="str">
        <f t="shared" si="11"/>
        <v>❌ FAILED: 6.4% - This person has probably not the right Codice Fiscale</v>
      </c>
      <c r="H236" s="6"/>
      <c r="I236" s="5" t="str">
        <f t="shared" si="0"/>
        <v>❌ FAIL - Wrong length (0/16 chars)</v>
      </c>
      <c r="J236" s="5" t="e">
        <f>_xlfn.LET(
  _xlpm.cf, UPPER(E236),
  _xlpm.data, D236,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36" s="5" t="e">
        <f t="shared" si="12"/>
        <v>#VALUE!</v>
      </c>
      <c r="L236" s="5" t="str">
        <f t="shared" si="13"/>
        <v xml:space="preserve">❌ FAIL - 8/50 points (1/6) - Expected: XXXXX, Found: </v>
      </c>
      <c r="M236" s="5" t="s">
        <v>24</v>
      </c>
      <c r="N236" s="5" t="s">
        <v>28</v>
      </c>
    </row>
    <row r="237" spans="1:14" ht="13">
      <c r="A237" s="5"/>
      <c r="B237" s="5"/>
      <c r="C237" s="5"/>
      <c r="D237" s="5"/>
      <c r="E237" s="5"/>
      <c r="G237" s="5" t="str">
        <f t="shared" si="11"/>
        <v>❌ FAILED: 6.4% - This person has probably not the right Codice Fiscale</v>
      </c>
      <c r="H237" s="6"/>
      <c r="I237" s="5" t="str">
        <f t="shared" si="0"/>
        <v>❌ FAIL - Wrong length (0/16 chars)</v>
      </c>
      <c r="J237" s="5" t="e">
        <f>_xlfn.LET(
  _xlpm.cf, UPPER(E237),
  _xlpm.data, D237,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37" s="5" t="e">
        <f t="shared" si="12"/>
        <v>#VALUE!</v>
      </c>
      <c r="L237" s="5" t="str">
        <f t="shared" si="13"/>
        <v xml:space="preserve">❌ FAIL - 8/50 points (1/6) - Expected: XXXXX, Found: </v>
      </c>
      <c r="M237" s="5" t="s">
        <v>24</v>
      </c>
      <c r="N237" s="5" t="s">
        <v>28</v>
      </c>
    </row>
    <row r="238" spans="1:14" ht="13">
      <c r="A238" s="5"/>
      <c r="B238" s="5"/>
      <c r="C238" s="5"/>
      <c r="D238" s="5"/>
      <c r="E238" s="5"/>
      <c r="G238" s="5" t="str">
        <f t="shared" si="11"/>
        <v>❌ FAILED: 6.4% - This person has probably not the right Codice Fiscale</v>
      </c>
      <c r="H238" s="6"/>
      <c r="I238" s="5" t="str">
        <f t="shared" si="0"/>
        <v>❌ FAIL - Wrong length (0/16 chars)</v>
      </c>
      <c r="J238" s="5" t="e">
        <f>_xlfn.LET(
  _xlpm.cf, UPPER(E238),
  _xlpm.data, D238,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38" s="5" t="e">
        <f t="shared" si="12"/>
        <v>#VALUE!</v>
      </c>
      <c r="L238" s="5" t="str">
        <f t="shared" si="13"/>
        <v xml:space="preserve">❌ FAIL - 8/50 points (1/6) - Expected: XXXXX, Found: </v>
      </c>
      <c r="M238" s="5" t="s">
        <v>24</v>
      </c>
      <c r="N238" s="5" t="s">
        <v>28</v>
      </c>
    </row>
    <row r="239" spans="1:14" ht="13">
      <c r="A239" s="5"/>
      <c r="B239" s="5"/>
      <c r="C239" s="5"/>
      <c r="D239" s="5"/>
      <c r="E239" s="5"/>
      <c r="G239" s="5" t="str">
        <f t="shared" si="11"/>
        <v>❌ FAILED: 6.4% - This person has probably not the right Codice Fiscale</v>
      </c>
      <c r="H239" s="6"/>
      <c r="I239" s="5" t="str">
        <f t="shared" si="0"/>
        <v>❌ FAIL - Wrong length (0/16 chars)</v>
      </c>
      <c r="J239" s="5" t="e">
        <f>_xlfn.LET(
  _xlpm.cf, UPPER(E239),
  _xlpm.data, D239,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39" s="5" t="e">
        <f t="shared" si="12"/>
        <v>#VALUE!</v>
      </c>
      <c r="L239" s="5" t="str">
        <f t="shared" si="13"/>
        <v xml:space="preserve">❌ FAIL - 8/50 points (1/6) - Expected: XXXXX, Found: </v>
      </c>
      <c r="M239" s="5" t="s">
        <v>24</v>
      </c>
      <c r="N239" s="5" t="s">
        <v>28</v>
      </c>
    </row>
    <row r="240" spans="1:14" ht="13">
      <c r="A240" s="5"/>
      <c r="B240" s="5"/>
      <c r="C240" s="5"/>
      <c r="D240" s="5"/>
      <c r="E240" s="5"/>
      <c r="G240" s="5" t="str">
        <f t="shared" si="11"/>
        <v>❌ FAILED: 6.4% - This person has probably not the right Codice Fiscale</v>
      </c>
      <c r="H240" s="6"/>
      <c r="I240" s="5" t="str">
        <f t="shared" si="0"/>
        <v>❌ FAIL - Wrong length (0/16 chars)</v>
      </c>
      <c r="J240" s="5" t="e">
        <f>_xlfn.LET(
  _xlpm.cf, UPPER(E240),
  _xlpm.data, D240,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40" s="5" t="e">
        <f t="shared" si="12"/>
        <v>#VALUE!</v>
      </c>
      <c r="L240" s="5" t="str">
        <f t="shared" si="13"/>
        <v xml:space="preserve">❌ FAIL - 8/50 points (1/6) - Expected: XXXXX, Found: </v>
      </c>
      <c r="M240" s="5" t="s">
        <v>24</v>
      </c>
      <c r="N240" s="5" t="s">
        <v>28</v>
      </c>
    </row>
    <row r="241" spans="1:14" ht="13">
      <c r="A241" s="5"/>
      <c r="B241" s="5"/>
      <c r="C241" s="5"/>
      <c r="D241" s="5"/>
      <c r="E241" s="5"/>
      <c r="G241" s="5" t="str">
        <f t="shared" si="11"/>
        <v>❌ FAILED: 6.4% - This person has probably not the right Codice Fiscale</v>
      </c>
      <c r="H241" s="6"/>
      <c r="I241" s="5" t="str">
        <f t="shared" si="0"/>
        <v>❌ FAIL - Wrong length (0/16 chars)</v>
      </c>
      <c r="J241" s="5" t="e">
        <f>_xlfn.LET(
  _xlpm.cf, UPPER(E241),
  _xlpm.data, D241,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41" s="5" t="e">
        <f t="shared" si="12"/>
        <v>#VALUE!</v>
      </c>
      <c r="L241" s="5" t="str">
        <f t="shared" si="13"/>
        <v xml:space="preserve">❌ FAIL - 8/50 points (1/6) - Expected: XXXXX, Found: </v>
      </c>
      <c r="M241" s="5" t="s">
        <v>24</v>
      </c>
      <c r="N241" s="5" t="s">
        <v>28</v>
      </c>
    </row>
    <row r="242" spans="1:14" ht="13">
      <c r="A242" s="5"/>
      <c r="B242" s="5"/>
      <c r="C242" s="5"/>
      <c r="D242" s="5"/>
      <c r="E242" s="5"/>
      <c r="G242" s="5" t="str">
        <f t="shared" si="11"/>
        <v>❌ FAILED: 6.4% - This person has probably not the right Codice Fiscale</v>
      </c>
      <c r="H242" s="6"/>
      <c r="I242" s="5" t="str">
        <f t="shared" si="0"/>
        <v>❌ FAIL - Wrong length (0/16 chars)</v>
      </c>
      <c r="J242" s="5" t="e">
        <f>_xlfn.LET(
  _xlpm.cf, UPPER(E242),
  _xlpm.data, D242,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42" s="5" t="e">
        <f t="shared" si="12"/>
        <v>#VALUE!</v>
      </c>
      <c r="L242" s="5" t="str">
        <f t="shared" si="13"/>
        <v xml:space="preserve">❌ FAIL - 8/50 points (1/6) - Expected: XXXXX, Found: </v>
      </c>
      <c r="M242" s="5" t="s">
        <v>24</v>
      </c>
      <c r="N242" s="5" t="s">
        <v>28</v>
      </c>
    </row>
    <row r="243" spans="1:14" ht="13">
      <c r="A243" s="5"/>
      <c r="B243" s="5"/>
      <c r="C243" s="5"/>
      <c r="D243" s="5"/>
      <c r="E243" s="5"/>
      <c r="G243" s="5" t="str">
        <f t="shared" si="11"/>
        <v>❌ FAILED: 6.4% - This person has probably not the right Codice Fiscale</v>
      </c>
      <c r="H243" s="6"/>
      <c r="I243" s="5" t="str">
        <f t="shared" si="0"/>
        <v>❌ FAIL - Wrong length (0/16 chars)</v>
      </c>
      <c r="J243" s="5" t="e">
        <f>_xlfn.LET(
  _xlpm.cf, UPPER(E243),
  _xlpm.data, D243,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43" s="5" t="e">
        <f t="shared" si="12"/>
        <v>#VALUE!</v>
      </c>
      <c r="L243" s="5" t="str">
        <f t="shared" si="13"/>
        <v xml:space="preserve">❌ FAIL - 8/50 points (1/6) - Expected: XXXXX, Found: </v>
      </c>
      <c r="M243" s="5" t="s">
        <v>24</v>
      </c>
      <c r="N243" s="5" t="s">
        <v>28</v>
      </c>
    </row>
    <row r="244" spans="1:14" ht="13">
      <c r="A244" s="5"/>
      <c r="B244" s="5"/>
      <c r="C244" s="5"/>
      <c r="D244" s="5"/>
      <c r="E244" s="5"/>
      <c r="G244" s="5" t="str">
        <f t="shared" si="11"/>
        <v>❌ FAILED: 6.4% - This person has probably not the right Codice Fiscale</v>
      </c>
      <c r="H244" s="6"/>
      <c r="I244" s="5" t="str">
        <f t="shared" si="0"/>
        <v>❌ FAIL - Wrong length (0/16 chars)</v>
      </c>
      <c r="J244" s="5" t="e">
        <f>_xlfn.LET(
  _xlpm.cf, UPPER(E244),
  _xlpm.data, D244,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44" s="5" t="e">
        <f t="shared" si="12"/>
        <v>#VALUE!</v>
      </c>
      <c r="L244" s="5" t="str">
        <f t="shared" si="13"/>
        <v xml:space="preserve">❌ FAIL - 8/50 points (1/6) - Expected: XXXXX, Found: </v>
      </c>
      <c r="M244" s="5" t="s">
        <v>24</v>
      </c>
      <c r="N244" s="5" t="s">
        <v>28</v>
      </c>
    </row>
    <row r="245" spans="1:14" ht="13">
      <c r="A245" s="5"/>
      <c r="B245" s="5"/>
      <c r="C245" s="5"/>
      <c r="D245" s="5"/>
      <c r="E245" s="5"/>
      <c r="G245" s="5" t="str">
        <f t="shared" si="11"/>
        <v>❌ FAILED: 6.4% - This person has probably not the right Codice Fiscale</v>
      </c>
      <c r="H245" s="6"/>
      <c r="I245" s="5" t="str">
        <f t="shared" si="0"/>
        <v>❌ FAIL - Wrong length (0/16 chars)</v>
      </c>
      <c r="J245" s="5" t="e">
        <f>_xlfn.LET(
  _xlpm.cf, UPPER(E245),
  _xlpm.data, D245,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45" s="5" t="e">
        <f t="shared" si="12"/>
        <v>#VALUE!</v>
      </c>
      <c r="L245" s="5" t="str">
        <f t="shared" si="13"/>
        <v xml:space="preserve">❌ FAIL - 8/50 points (1/6) - Expected: XXXXX, Found: </v>
      </c>
      <c r="M245" s="5" t="s">
        <v>24</v>
      </c>
      <c r="N245" s="5" t="s">
        <v>28</v>
      </c>
    </row>
    <row r="246" spans="1:14" ht="13">
      <c r="A246" s="5"/>
      <c r="B246" s="5"/>
      <c r="C246" s="5"/>
      <c r="D246" s="5"/>
      <c r="E246" s="5"/>
      <c r="G246" s="5" t="str">
        <f t="shared" si="11"/>
        <v>❌ FAILED: 6.4% - This person has probably not the right Codice Fiscale</v>
      </c>
      <c r="H246" s="6"/>
      <c r="I246" s="5" t="str">
        <f t="shared" si="0"/>
        <v>❌ FAIL - Wrong length (0/16 chars)</v>
      </c>
      <c r="J246" s="5" t="e">
        <f>_xlfn.LET(
  _xlpm.cf, UPPER(E246),
  _xlpm.data, D246,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46" s="5" t="e">
        <f t="shared" si="12"/>
        <v>#VALUE!</v>
      </c>
      <c r="L246" s="5" t="str">
        <f t="shared" si="13"/>
        <v xml:space="preserve">❌ FAIL - 8/50 points (1/6) - Expected: XXXXX, Found: </v>
      </c>
      <c r="M246" s="5" t="s">
        <v>24</v>
      </c>
      <c r="N246" s="5" t="s">
        <v>28</v>
      </c>
    </row>
    <row r="247" spans="1:14" ht="13">
      <c r="A247" s="5"/>
      <c r="B247" s="5"/>
      <c r="C247" s="5"/>
      <c r="D247" s="5"/>
      <c r="E247" s="5"/>
      <c r="G247" s="5" t="str">
        <f t="shared" si="11"/>
        <v>❌ FAILED: 6.4% - This person has probably not the right Codice Fiscale</v>
      </c>
      <c r="H247" s="6"/>
      <c r="I247" s="5" t="str">
        <f t="shared" si="0"/>
        <v>❌ FAIL - Wrong length (0/16 chars)</v>
      </c>
      <c r="J247" s="5" t="e">
        <f>_xlfn.LET(
  _xlpm.cf, UPPER(E247),
  _xlpm.data, D247,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47" s="5" t="e">
        <f t="shared" si="12"/>
        <v>#VALUE!</v>
      </c>
      <c r="L247" s="5" t="str">
        <f t="shared" si="13"/>
        <v xml:space="preserve">❌ FAIL - 8/50 points (1/6) - Expected: XXXXX, Found: </v>
      </c>
      <c r="M247" s="5" t="s">
        <v>24</v>
      </c>
      <c r="N247" s="5" t="s">
        <v>28</v>
      </c>
    </row>
    <row r="248" spans="1:14" ht="13">
      <c r="A248" s="5"/>
      <c r="B248" s="5"/>
      <c r="C248" s="5"/>
      <c r="D248" s="5"/>
      <c r="E248" s="5"/>
      <c r="G248" s="5" t="str">
        <f t="shared" si="11"/>
        <v>❌ FAILED: 6.4% - This person has probably not the right Codice Fiscale</v>
      </c>
      <c r="H248" s="6"/>
      <c r="I248" s="5" t="str">
        <f t="shared" si="0"/>
        <v>❌ FAIL - Wrong length (0/16 chars)</v>
      </c>
      <c r="J248" s="5" t="e">
        <f>_xlfn.LET(
  _xlpm.cf, UPPER(E248),
  _xlpm.data, D248,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48" s="5" t="e">
        <f t="shared" si="12"/>
        <v>#VALUE!</v>
      </c>
      <c r="L248" s="5" t="str">
        <f t="shared" si="13"/>
        <v xml:space="preserve">❌ FAIL - 8/50 points (1/6) - Expected: XXXXX, Found: </v>
      </c>
      <c r="M248" s="5" t="s">
        <v>24</v>
      </c>
      <c r="N248" s="5" t="s">
        <v>28</v>
      </c>
    </row>
    <row r="249" spans="1:14" ht="13">
      <c r="A249" s="5"/>
      <c r="B249" s="5"/>
      <c r="C249" s="5"/>
      <c r="D249" s="5"/>
      <c r="E249" s="5"/>
      <c r="G249" s="5" t="str">
        <f t="shared" si="11"/>
        <v>❌ FAILED: 6.4% - This person has probably not the right Codice Fiscale</v>
      </c>
      <c r="H249" s="6"/>
      <c r="I249" s="5" t="str">
        <f t="shared" si="0"/>
        <v>❌ FAIL - Wrong length (0/16 chars)</v>
      </c>
      <c r="J249" s="5" t="e">
        <f>_xlfn.LET(
  _xlpm.cf, UPPER(E249),
  _xlpm.data, D249,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49" s="5" t="e">
        <f t="shared" si="12"/>
        <v>#VALUE!</v>
      </c>
      <c r="L249" s="5" t="str">
        <f t="shared" si="13"/>
        <v xml:space="preserve">❌ FAIL - 8/50 points (1/6) - Expected: XXXXX, Found: </v>
      </c>
      <c r="M249" s="5" t="s">
        <v>24</v>
      </c>
      <c r="N249" s="5" t="s">
        <v>28</v>
      </c>
    </row>
    <row r="250" spans="1:14" ht="13">
      <c r="A250" s="5"/>
      <c r="B250" s="5"/>
      <c r="C250" s="5"/>
      <c r="D250" s="5"/>
      <c r="E250" s="5"/>
      <c r="G250" s="5" t="str">
        <f t="shared" si="11"/>
        <v>❌ FAILED: 6.4% - This person has probably not the right Codice Fiscale</v>
      </c>
      <c r="H250" s="6"/>
      <c r="I250" s="5" t="str">
        <f t="shared" si="0"/>
        <v>❌ FAIL - Wrong length (0/16 chars)</v>
      </c>
      <c r="J250" s="5" t="e">
        <f>_xlfn.LET(
  _xlpm.cf, UPPER(E250),
  _xlpm.data, D250,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50" s="5" t="e">
        <f t="shared" si="12"/>
        <v>#VALUE!</v>
      </c>
      <c r="L250" s="5" t="str">
        <f t="shared" si="13"/>
        <v xml:space="preserve">❌ FAIL - 8/50 points (1/6) - Expected: XXXXX, Found: </v>
      </c>
      <c r="M250" s="5" t="s">
        <v>24</v>
      </c>
      <c r="N250" s="5" t="s">
        <v>28</v>
      </c>
    </row>
    <row r="251" spans="1:14" ht="13">
      <c r="A251" s="5"/>
      <c r="B251" s="5"/>
      <c r="C251" s="5"/>
      <c r="D251" s="5"/>
      <c r="E251" s="5"/>
      <c r="G251" s="5" t="str">
        <f t="shared" si="11"/>
        <v>❌ FAILED: 6.4% - This person has probably not the right Codice Fiscale</v>
      </c>
      <c r="H251" s="6"/>
      <c r="I251" s="5" t="str">
        <f t="shared" si="0"/>
        <v>❌ FAIL - Wrong length (0/16 chars)</v>
      </c>
      <c r="J251" s="5" t="e">
        <f>_xlfn.LET(
  _xlpm.cf, UPPER(E251),
  _xlpm.data, D251,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51" s="5" t="e">
        <f t="shared" si="12"/>
        <v>#VALUE!</v>
      </c>
      <c r="L251" s="5" t="str">
        <f t="shared" si="13"/>
        <v xml:space="preserve">❌ FAIL - 8/50 points (1/6) - Expected: XXXXX, Found: </v>
      </c>
      <c r="M251" s="5" t="s">
        <v>24</v>
      </c>
      <c r="N251" s="5" t="s">
        <v>28</v>
      </c>
    </row>
    <row r="252" spans="1:14" ht="13">
      <c r="A252" s="5"/>
      <c r="B252" s="5"/>
      <c r="C252" s="5"/>
      <c r="D252" s="5"/>
      <c r="E252" s="5"/>
      <c r="G252" s="5" t="str">
        <f t="shared" si="11"/>
        <v>❌ FAILED: 6.4% - This person has probably not the right Codice Fiscale</v>
      </c>
      <c r="H252" s="6"/>
      <c r="I252" s="5" t="str">
        <f t="shared" si="0"/>
        <v>❌ FAIL - Wrong length (0/16 chars)</v>
      </c>
      <c r="J252" s="5" t="e">
        <f>_xlfn.LET(
  _xlpm.cf, UPPER(E252),
  _xlpm.data, D252,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52" s="5" t="e">
        <f t="shared" si="12"/>
        <v>#VALUE!</v>
      </c>
      <c r="L252" s="5" t="str">
        <f t="shared" si="13"/>
        <v xml:space="preserve">❌ FAIL - 8/50 points (1/6) - Expected: XXXXX, Found: </v>
      </c>
      <c r="M252" s="5" t="s">
        <v>24</v>
      </c>
      <c r="N252" s="5" t="s">
        <v>28</v>
      </c>
    </row>
    <row r="253" spans="1:14" ht="13">
      <c r="A253" s="5"/>
      <c r="B253" s="5"/>
      <c r="C253" s="5"/>
      <c r="D253" s="5"/>
      <c r="E253" s="5"/>
      <c r="G253" s="5" t="str">
        <f t="shared" si="11"/>
        <v>❌ FAILED: 6.4% - This person has probably not the right Codice Fiscale</v>
      </c>
      <c r="H253" s="6"/>
      <c r="I253" s="5" t="str">
        <f t="shared" si="0"/>
        <v>❌ FAIL - Wrong length (0/16 chars)</v>
      </c>
      <c r="J253" s="5" t="e">
        <f>_xlfn.LET(
  _xlpm.cf, UPPER(E253),
  _xlpm.data, D253,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53" s="5" t="e">
        <f t="shared" si="12"/>
        <v>#VALUE!</v>
      </c>
      <c r="L253" s="5" t="str">
        <f t="shared" si="13"/>
        <v xml:space="preserve">❌ FAIL - 8/50 points (1/6) - Expected: XXXXX, Found: </v>
      </c>
      <c r="M253" s="5" t="s">
        <v>24</v>
      </c>
      <c r="N253" s="5" t="s">
        <v>28</v>
      </c>
    </row>
    <row r="254" spans="1:14" ht="13">
      <c r="A254" s="5"/>
      <c r="B254" s="5"/>
      <c r="C254" s="5"/>
      <c r="D254" s="5"/>
      <c r="E254" s="5"/>
      <c r="G254" s="5" t="str">
        <f t="shared" si="11"/>
        <v>❌ FAILED: 6.4% - This person has probably not the right Codice Fiscale</v>
      </c>
      <c r="H254" s="6"/>
      <c r="I254" s="5" t="str">
        <f t="shared" si="0"/>
        <v>❌ FAIL - Wrong length (0/16 chars)</v>
      </c>
      <c r="J254" s="5" t="e">
        <f>_xlfn.LET(
  _xlpm.cf, UPPER(E254),
  _xlpm.data, D254,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54" s="5" t="e">
        <f t="shared" si="12"/>
        <v>#VALUE!</v>
      </c>
      <c r="L254" s="5" t="str">
        <f t="shared" si="13"/>
        <v xml:space="preserve">❌ FAIL - 8/50 points (1/6) - Expected: XXXXX, Found: </v>
      </c>
      <c r="M254" s="5" t="s">
        <v>24</v>
      </c>
      <c r="N254" s="5" t="s">
        <v>28</v>
      </c>
    </row>
    <row r="255" spans="1:14" ht="13">
      <c r="A255" s="5"/>
      <c r="B255" s="5"/>
      <c r="C255" s="5"/>
      <c r="D255" s="5"/>
      <c r="E255" s="5"/>
      <c r="G255" s="5" t="str">
        <f t="shared" si="11"/>
        <v>❌ FAILED: 6.4% - This person has probably not the right Codice Fiscale</v>
      </c>
      <c r="H255" s="6"/>
      <c r="I255" s="5" t="str">
        <f t="shared" si="0"/>
        <v>❌ FAIL - Wrong length (0/16 chars)</v>
      </c>
      <c r="J255" s="5" t="e">
        <f>_xlfn.LET(
  _xlpm.cf, UPPER(E255),
  _xlpm.data, D255,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55" s="5" t="e">
        <f t="shared" si="12"/>
        <v>#VALUE!</v>
      </c>
      <c r="L255" s="5" t="str">
        <f t="shared" si="13"/>
        <v xml:space="preserve">❌ FAIL - 8/50 points (1/6) - Expected: XXXXX, Found: </v>
      </c>
      <c r="M255" s="5" t="s">
        <v>24</v>
      </c>
      <c r="N255" s="5" t="s">
        <v>28</v>
      </c>
    </row>
    <row r="256" spans="1:14" ht="13">
      <c r="A256" s="5"/>
      <c r="B256" s="5"/>
      <c r="C256" s="5"/>
      <c r="D256" s="5"/>
      <c r="E256" s="5"/>
      <c r="G256" s="5" t="str">
        <f t="shared" si="11"/>
        <v>❌ FAILED: 6.4% - This person has probably not the right Codice Fiscale</v>
      </c>
      <c r="H256" s="6"/>
      <c r="I256" s="5" t="str">
        <f t="shared" si="0"/>
        <v>❌ FAIL - Wrong length (0/16 chars)</v>
      </c>
      <c r="J256" s="5" t="e">
        <f>_xlfn.LET(
  _xlpm.cf, UPPER(E256),
  _xlpm.data, D256,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56" s="5" t="e">
        <f t="shared" si="12"/>
        <v>#VALUE!</v>
      </c>
      <c r="L256" s="5" t="str">
        <f t="shared" si="13"/>
        <v xml:space="preserve">❌ FAIL - 8/50 points (1/6) - Expected: XXXXX, Found: </v>
      </c>
      <c r="M256" s="5" t="s">
        <v>24</v>
      </c>
      <c r="N256" s="5" t="s">
        <v>28</v>
      </c>
    </row>
    <row r="257" spans="1:14" ht="13">
      <c r="A257" s="5"/>
      <c r="B257" s="5"/>
      <c r="C257" s="5"/>
      <c r="D257" s="5"/>
      <c r="E257" s="5"/>
      <c r="G257" s="5" t="str">
        <f t="shared" si="11"/>
        <v>❌ FAILED: 6.4% - This person has probably not the right Codice Fiscale</v>
      </c>
      <c r="H257" s="6"/>
      <c r="I257" s="5" t="str">
        <f t="shared" ref="I257:I511" si="14">IF(LEN(E257)=16, "✅ PASS - Length OK (16 chars)", "❌ FAIL - Wrong length (" &amp; LEN(E257) &amp; "/16 chars)")</f>
        <v>❌ FAIL - Wrong length (0/16 chars)</v>
      </c>
      <c r="J257" s="5" t="e">
        <f>_xlfn.LET(
  _xlpm.cf, UPPER(E257),
  _xlpm.data, D257,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57" s="5" t="e">
        <f t="shared" si="12"/>
        <v>#VALUE!</v>
      </c>
      <c r="L257" s="5" t="str">
        <f t="shared" si="13"/>
        <v xml:space="preserve">❌ FAIL - 8/50 points (1/6) - Expected: XXXXX, Found: </v>
      </c>
      <c r="M257" s="5" t="s">
        <v>24</v>
      </c>
      <c r="N257" s="5" t="s">
        <v>28</v>
      </c>
    </row>
    <row r="258" spans="1:14" ht="13">
      <c r="A258" s="5"/>
      <c r="B258" s="5"/>
      <c r="C258" s="5"/>
      <c r="D258" s="5"/>
      <c r="E258" s="5"/>
      <c r="G258" s="5" t="str">
        <f t="shared" si="11"/>
        <v>❌ FAILED: 6.4% - This person has probably not the right Codice Fiscale</v>
      </c>
      <c r="H258" s="6"/>
      <c r="I258" s="5" t="str">
        <f t="shared" si="14"/>
        <v>❌ FAIL - Wrong length (0/16 chars)</v>
      </c>
      <c r="J258" s="5" t="e">
        <f>_xlfn.LET(
  _xlpm.cf, UPPER(E258),
  _xlpm.data, D258,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58" s="5" t="e">
        <f t="shared" si="12"/>
        <v>#VALUE!</v>
      </c>
      <c r="L258" s="5" t="str">
        <f t="shared" si="13"/>
        <v xml:space="preserve">❌ FAIL - 8/50 points (1/6) - Expected: XXXXX, Found: </v>
      </c>
      <c r="M258" s="5" t="s">
        <v>24</v>
      </c>
      <c r="N258" s="5" t="s">
        <v>28</v>
      </c>
    </row>
    <row r="259" spans="1:14" ht="13">
      <c r="A259" s="5"/>
      <c r="B259" s="5"/>
      <c r="C259" s="5"/>
      <c r="D259" s="5"/>
      <c r="E259" s="5"/>
      <c r="G259" s="5" t="str">
        <f t="shared" ref="G259:G322" si="15">_xlfn.LET(
  _xlpm.check1_score, IF(ISNUMBER(SEARCH("✅", I259)), 10, 0),
  _xlpm.check2_score, IF(ISNUMBER(SEARCH("✅", J259)), 20, 0),
  _xlpm.check3_score, IF(ISNUMBER(SEARCH("✅", K259)), 10, 0),
  _xlpm.check4_score, IF(ISNUMBER(SEARCH("50/50", L259)), 40, IF(ISNUMBER(SEARCH("/50", L259)), VALUE(MID(L259, SEARCH("- ", L259) + 2, SEARCH("/50", L259) - SEARCH("- ", L259) - 2)) * 0.8, 0)),
  _xlpm.check5_score, IF(ISNUMBER(SEARCH("✅", M259)), 10, 0),
  _xlpm.check6_score, IF(ISNUMBER(SEARCH("✅", N259)), 10, 0),
  _xlpm.total_score,_xlfn.SINGLE( _xlpm.check1_score) +_xlfn.SINGLE( _xlpm.check2_score) +_xlfn.SINGLE( _xlpm.check3_score) +_xlfn.SINGLE( _xlpm.check4_score) +_xlfn.SINGLE( _xlpm.check5_score) +_xlfn.SINGLE( _xlpm.check6_score),
  _xlpm.failed_checks, 6 - (IF(_xlfn.SINGLE(_xlpm.check1_score)&gt;0,1,0) + IF(_xlfn.SINGLE(_xlpm.check2_score)&gt;0,1,0) + IF(_xlfn.SINGLE(_xlpm.check3_score)&gt;0,1,0) + IF(_xlfn.SINGLE(_xlpm.check4_score)&gt;=20,1,0) + IF(_xlfn.SINGLE(_xlpm.check5_score)&gt;0,1,0) + IF(_xlfn.SINGLE(_xlpm.check6_score)&gt;0,1,0)),
  _xlpm.length_fail,_xlfn.SINGLE( _xlpm.check1_score) = 0,
  IF(_xlfn.SINGLE(_xlpm.total_score) = 100,
    "🎯 PERFECT MATCH: 100% - Codice Fiscale is fully valid",
    IF(_xlfn.SINGLE(_xlpm.total_score) &gt;= 90,
      "✅ EXCELLENT: " &amp;_xlfn.SINGLE( _xlpm.total_score) &amp; "% - Very likely valid, minor verification recommended",
      IF(_xlfn.SINGLE(_xlpm.total_score) &gt;= 75,
        IF(AND(_xlfn.SINGLE(_xlpm.failed_checks) = 1, _xlpm.length_fail),
          "⚠️ SCORE: " &amp;_xlfn.SINGLE( _xlpm.total_score) &amp; "% - Check any typo in Codice Fiscale length (should be 16 characters)",
          "⚠️ SCORE: " &amp;_xlfn.SINGLE( _xlpm.total_score) &amp; "% - Not a perfect match, check for any typo"
        ),
        IF(_xlfn.SINGLE(_xlpm.total_score) &gt;= 50,
          "⚠️ SCORE: " &amp;_xlfn.SINGLE( _xlpm.total_score) &amp; "% - Significant issues detected, verify all data carefully",
          "❌ FAILED: " &amp;_xlfn.SINGLE( _xlpm.total_score) &amp; "% - This person has probably not the right Codice Fiscale"
        )
      )
    )
  )
)</f>
        <v>❌ FAILED: 6.4% - This person has probably not the right Codice Fiscale</v>
      </c>
      <c r="H259" s="6"/>
      <c r="I259" s="5" t="str">
        <f t="shared" si="14"/>
        <v>❌ FAIL - Wrong length (0/16 chars)</v>
      </c>
      <c r="J259" s="5" t="e">
        <f>_xlfn.LET(
  _xlpm.cf, UPPER(E259),
  _xlpm.data, D259,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59" s="5" t="e">
        <f t="shared" ref="K259:K322" si="16">_xlfn.LET(
  _xlpm.cf, UPPER(E259),
  _xlpm.gender_input, UPPER(C259),
  _xlpm.day_cf, VALUE(MID(_xlpm.cf, 10, 2)),
  _xlpm.cf_indicates_female, _xlpm.day_cf &gt; 40,
  _xlpm.input_is_female, _xlpm.gender_input = "FEMALE",
  _xlpm.gender_match, _xlpm.cf_indicates_female = _xlpm.input_is_female,
  IF(
    _xlpm.gender_match,
    "✅ PASS - Gender: " &amp; IF(_xlpm.input_is_female, "Female", "Male") &amp; " (day: " &amp; IF(_xlpm.cf_indicates_female, _xlpm.day_cf-40, _xlpm.day_cf) &amp; ")",
    "❌ FAIL - Gender mismatch: CF indicates " &amp;
      IF(_xlpm.cf_indicates_female, "Female (+40)", "Male") &amp;
      " (day: " &amp; IF(_xlpm.cf_indicates_female, _xlpm.day_cf-40, _xlpm.day_cf) &amp; ") but person is " &amp;
      IF(_xlpm.input_is_female, "Female", "Male")
  )
)</f>
        <v>#VALUE!</v>
      </c>
      <c r="L259" s="5" t="str">
        <f t="shared" si="13"/>
        <v xml:space="preserve">❌ FAIL - 8/50 points (1/6) - Expected: XXXXX, Found: </v>
      </c>
      <c r="M259" s="5" t="s">
        <v>24</v>
      </c>
      <c r="N259" s="5" t="s">
        <v>28</v>
      </c>
    </row>
    <row r="260" spans="1:14" ht="13">
      <c r="A260" s="5"/>
      <c r="B260" s="5"/>
      <c r="C260" s="5"/>
      <c r="D260" s="5"/>
      <c r="E260" s="5"/>
      <c r="G260" s="5" t="str">
        <f t="shared" si="15"/>
        <v>❌ FAILED: 6.4% - This person has probably not the right Codice Fiscale</v>
      </c>
      <c r="H260" s="6"/>
      <c r="I260" s="5" t="str">
        <f t="shared" si="14"/>
        <v>❌ FAIL - Wrong length (0/16 chars)</v>
      </c>
      <c r="J260" s="5" t="e">
        <f>_xlfn.LET(
  _xlpm.cf, UPPER(E260),
  _xlpm.data, D260,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60" s="5" t="e">
        <f t="shared" si="16"/>
        <v>#VALUE!</v>
      </c>
      <c r="L260" s="5" t="str">
        <f t="shared" si="13"/>
        <v xml:space="preserve">❌ FAIL - 8/50 points (1/6) - Expected: XXXXX, Found: </v>
      </c>
      <c r="M260" s="5" t="s">
        <v>24</v>
      </c>
      <c r="N260" s="5" t="s">
        <v>28</v>
      </c>
    </row>
    <row r="261" spans="1:14" ht="13">
      <c r="A261" s="5"/>
      <c r="B261" s="5"/>
      <c r="C261" s="5"/>
      <c r="D261" s="5"/>
      <c r="E261" s="5"/>
      <c r="G261" s="5" t="str">
        <f t="shared" si="15"/>
        <v>❌ FAILED: 6.4% - This person has probably not the right Codice Fiscale</v>
      </c>
      <c r="H261" s="6"/>
      <c r="I261" s="5" t="str">
        <f t="shared" si="14"/>
        <v>❌ FAIL - Wrong length (0/16 chars)</v>
      </c>
      <c r="J261" s="5" t="e">
        <f>_xlfn.LET(
  _xlpm.cf, UPPER(E261),
  _xlpm.data, D261,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61" s="5" t="e">
        <f t="shared" si="16"/>
        <v>#VALUE!</v>
      </c>
      <c r="L261" s="5" t="str">
        <f t="shared" ref="L261:L324" si="17">_xlfn.LET(
  _xlpm.cf_code, LEFT(UPPER(E261), 6),
  _xlpm.surname, UPPER(B261),
  _xlpm.name_clean, SUBSTITUTE(UPPER(A261), " ", ""),
  _xlpm.s_cons, SUBSTITUTE(SUBSTITUTE(SUBSTITUTE(SUBSTITUTE(SUBSTITUTE(_xlfn.SINGLE(_xlpm.surname), "A", ""), "E", ""), "I", ""), "O", ""), "U", ""),
  _xlpm.s_vowels, SUBSTITUTE(SUBSTITUTE(SUBSTITUTE(SUBSTITUTE(SUBSTITUTE(SUBSTITUTE(SUBSTITUTE(SUBSTITUTE(SUBSTITUTE(SUBSTITUTE(SUBSTITUTE(SUBSTITUTE(SUBSTITUTE(SUBSTITUTE(SUBSTITUTE(SUBSTITUTE(SUBSTITUTE(SUBSTITUTE(SUBSTITUTE(SUBSTITUTE(SUBSTITUTE(_xlfn.SINGLE(_xlpm.surname), "B", ""), "C", ""), "D", ""), "F", ""), "G", ""), "H", ""), "J", ""), "K", ""), "L", ""), "M", ""), "N", ""), "P", ""), "Q", ""), "R", ""), "S", ""), "T", ""), "V", ""), "W", ""), "X", ""), "Y", ""), "Z", ""),
  _xlpm.n_cons, SUBSTITUTE(SUBSTITUTE(SUBSTITUTE(SUBSTITUTE(SUBSTITUTE(_xlfn.SINGLE(_xlpm.name_clean), "A", ""), "E", ""), "I", ""), "O", ""), "U", ""),
  _xlpm.n_vowels, SUBSTITUTE(SUBSTITUTE(SUBSTITUTE(SUBSTITUTE(SUBSTITUTE(SUBSTITUTE(SUBSTITUTE(SUBSTITUTE(SUBSTITUTE(SUBSTITUTE(SUBSTITUTE(SUBSTITUTE(SUBSTITUTE(SUBSTITUTE(SUBSTITUTE(SUBSTITUTE(SUBSTITUTE(SUBSTITUTE(SUBSTITUTE(SUBSTITUTE(SUBSTITUTE(_xlfn.SINGLE(_xlpm.name_clean), "B", ""), "C", ""), "D", ""), "F", ""), "G", ""), "H", ""), "J", ""), "K", ""), "L", ""), "M", ""), "N", ""), "P", ""), "Q", ""), "R", ""), "S", ""), "T", ""), "V", ""), "W", ""), "X", ""), "Y", ""), "Z", ""),
  _xlpm.surname_code, IF(LEN(_xlfn.SINGLE(_xlpm.s_cons)) &gt;= 3, LEFT(_xlfn.SINGLE(_xlpm.s_cons), 3), IF(LEN(_xlfn.SINGLE(_xlpm.s_cons)) = 2,_xlfn.SINGLE( _xlpm.s_cons) &amp; LEFT(_xlfn.SINGLE(_xlpm.s_vowels), 1), IF(LEN(_xlfn.SINGLE(_xlpm.s_cons)) = 1, LEFT(_xlfn.SINGLE(_xlpm.s_cons) &amp;_xlfn.SINGLE( _xlpm.s_vowels) &amp; "XX", 3), LEFT(_xlfn.SINGLE(_xlpm.s_vowels) &amp; "XX", 3)))),
  _xlpm.name_code, IF(LEN(_xlfn.SINGLE(_xlpm.n_cons)) &gt;= 4,
    MID(_xlfn.SINGLE(_xlpm.n_cons),1,1) &amp; MID(_xlfn.SINGLE(_xlpm.n_cons),3,1) &amp; MID(_xlfn.SINGLE(_xlpm.n_cons),4,1),
    IF(LEN(_xlfn.SINGLE(_xlpm.n_cons)) = 3,
      LEFT(_xlfn.SINGLE(_xlpm.n_cons), 3),
      LEFT(_xlfn.SINGLE(_xlpm.n_cons) &amp;_xlfn.SINGLE( _xlpm.n_vowels) &amp; "XXX", 3)
    )
  ),
  _xlpm.expected,_xlfn.SINGLE( _xlpm.surname_code) &amp;_xlfn.SINGLE( _xlpm.name_code),
  _xlpm.matches, (IF(MID(_xlfn.SINGLE(_xlpm.expected),1,1)=MID(_xlfn.SINGLE(_xlpm.cf_code),1,1),1,0))+(IF(MID(_xlfn.SINGLE(_xlpm.expected),2,1)=MID(_xlfn.SINGLE(_xlpm.cf_code),2,1),1,0))+(IF(MID(_xlfn.SINGLE(_xlpm.expected),3,1)=MID(_xlfn.SINGLE(_xlpm.cf_code),3,1),1,0))+(IF(MID(_xlfn.SINGLE(_xlpm.expected),4,1)=MID(_xlfn.SINGLE(_xlpm.cf_code),4,1),1,0))+(IF(MID(_xlfn.SINGLE(_xlpm.expected),5,1)=MID(_xlfn.SINGLE(_xlpm.cf_code),5,1),1,0))+(IF(MID(_xlfn.SINGLE(_xlpm.expected),6,1)=MID(_xlfn.SINGLE(_xlpm.cf_code),6,1),1,0)),
  IF(_xlfn.SINGLE(_xlpm.matches)=6, "✅ PASS - 50/50 points", "❌ FAIL - " &amp; ROUND(_xlfn.SINGLE(_xlpm.matches)/6*50,0) &amp; "/50 points (" &amp;_xlfn.SINGLE( _xlpm.matches) &amp; "/6) - Expected: " &amp;_xlfn.SINGLE( _xlpm.expected) &amp; ", Found: " &amp;_xlfn.SINGLE( _xlpm.cf_code))
)</f>
        <v xml:space="preserve">❌ FAIL - 8/50 points (1/6) - Expected: XXXXX, Found: </v>
      </c>
      <c r="M261" s="5" t="s">
        <v>24</v>
      </c>
      <c r="N261" s="5" t="s">
        <v>28</v>
      </c>
    </row>
    <row r="262" spans="1:14" ht="13">
      <c r="A262" s="5"/>
      <c r="B262" s="5"/>
      <c r="C262" s="5"/>
      <c r="D262" s="5"/>
      <c r="E262" s="5"/>
      <c r="G262" s="5" t="str">
        <f t="shared" si="15"/>
        <v>❌ FAILED: 6.4% - This person has probably not the right Codice Fiscale</v>
      </c>
      <c r="H262" s="6"/>
      <c r="I262" s="5" t="str">
        <f t="shared" si="14"/>
        <v>❌ FAIL - Wrong length (0/16 chars)</v>
      </c>
      <c r="J262" s="5" t="e">
        <f>_xlfn.LET(
  _xlpm.cf, UPPER(E262),
  _xlpm.data, D262,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62" s="5" t="e">
        <f t="shared" si="16"/>
        <v>#VALUE!</v>
      </c>
      <c r="L262" s="5" t="str">
        <f t="shared" si="17"/>
        <v xml:space="preserve">❌ FAIL - 8/50 points (1/6) - Expected: XXXXX, Found: </v>
      </c>
      <c r="M262" s="5" t="s">
        <v>24</v>
      </c>
      <c r="N262" s="5" t="s">
        <v>28</v>
      </c>
    </row>
    <row r="263" spans="1:14" ht="13">
      <c r="A263" s="5"/>
      <c r="B263" s="5"/>
      <c r="C263" s="5"/>
      <c r="D263" s="5"/>
      <c r="E263" s="5"/>
      <c r="G263" s="5" t="str">
        <f t="shared" si="15"/>
        <v>❌ FAILED: 6.4% - This person has probably not the right Codice Fiscale</v>
      </c>
      <c r="H263" s="6"/>
      <c r="I263" s="5" t="str">
        <f t="shared" si="14"/>
        <v>❌ FAIL - Wrong length (0/16 chars)</v>
      </c>
      <c r="J263" s="5" t="e">
        <f>_xlfn.LET(
  _xlpm.cf, UPPER(E263),
  _xlpm.data, D263,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63" s="5" t="e">
        <f t="shared" si="16"/>
        <v>#VALUE!</v>
      </c>
      <c r="L263" s="5" t="str">
        <f t="shared" si="17"/>
        <v xml:space="preserve">❌ FAIL - 8/50 points (1/6) - Expected: XXXXX, Found: </v>
      </c>
      <c r="M263" s="5" t="s">
        <v>24</v>
      </c>
      <c r="N263" s="5" t="s">
        <v>28</v>
      </c>
    </row>
    <row r="264" spans="1:14" ht="13">
      <c r="A264" s="5"/>
      <c r="B264" s="5"/>
      <c r="C264" s="5"/>
      <c r="D264" s="5"/>
      <c r="E264" s="5"/>
      <c r="G264" s="5" t="str">
        <f t="shared" si="15"/>
        <v>❌ FAILED: 6.4% - This person has probably not the right Codice Fiscale</v>
      </c>
      <c r="H264" s="6"/>
      <c r="I264" s="5" t="str">
        <f t="shared" si="14"/>
        <v>❌ FAIL - Wrong length (0/16 chars)</v>
      </c>
      <c r="J264" s="5" t="e">
        <f>_xlfn.LET(
  _xlpm.cf, UPPER(E264),
  _xlpm.data, D264,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64" s="5" t="e">
        <f t="shared" si="16"/>
        <v>#VALUE!</v>
      </c>
      <c r="L264" s="5" t="str">
        <f t="shared" si="17"/>
        <v xml:space="preserve">❌ FAIL - 8/50 points (1/6) - Expected: XXXXX, Found: </v>
      </c>
      <c r="M264" s="5" t="s">
        <v>24</v>
      </c>
      <c r="N264" s="5" t="s">
        <v>28</v>
      </c>
    </row>
    <row r="265" spans="1:14" ht="13">
      <c r="A265" s="5"/>
      <c r="B265" s="5"/>
      <c r="C265" s="5"/>
      <c r="D265" s="5"/>
      <c r="E265" s="5"/>
      <c r="G265" s="5" t="str">
        <f t="shared" si="15"/>
        <v>❌ FAILED: 6.4% - This person has probably not the right Codice Fiscale</v>
      </c>
      <c r="H265" s="6"/>
      <c r="I265" s="5" t="str">
        <f t="shared" si="14"/>
        <v>❌ FAIL - Wrong length (0/16 chars)</v>
      </c>
      <c r="J265" s="5" t="e">
        <f>_xlfn.LET(
  _xlpm.cf, UPPER(E265),
  _xlpm.data, D265,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65" s="5" t="e">
        <f t="shared" si="16"/>
        <v>#VALUE!</v>
      </c>
      <c r="L265" s="5" t="str">
        <f t="shared" si="17"/>
        <v xml:space="preserve">❌ FAIL - 8/50 points (1/6) - Expected: XXXXX, Found: </v>
      </c>
      <c r="M265" s="5" t="s">
        <v>24</v>
      </c>
      <c r="N265" s="5" t="s">
        <v>28</v>
      </c>
    </row>
    <row r="266" spans="1:14" ht="13">
      <c r="A266" s="5"/>
      <c r="B266" s="5"/>
      <c r="C266" s="5"/>
      <c r="D266" s="5"/>
      <c r="E266" s="5"/>
      <c r="G266" s="5" t="str">
        <f t="shared" si="15"/>
        <v>❌ FAILED: 6.4% - This person has probably not the right Codice Fiscale</v>
      </c>
      <c r="H266" s="6"/>
      <c r="I266" s="5" t="str">
        <f t="shared" si="14"/>
        <v>❌ FAIL - Wrong length (0/16 chars)</v>
      </c>
      <c r="J266" s="5" t="e">
        <f>_xlfn.LET(
  _xlpm.cf, UPPER(E266),
  _xlpm.data, D266,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66" s="5" t="e">
        <f t="shared" si="16"/>
        <v>#VALUE!</v>
      </c>
      <c r="L266" s="5" t="str">
        <f t="shared" si="17"/>
        <v xml:space="preserve">❌ FAIL - 8/50 points (1/6) - Expected: XXXXX, Found: </v>
      </c>
      <c r="M266" s="5" t="s">
        <v>24</v>
      </c>
      <c r="N266" s="5" t="s">
        <v>28</v>
      </c>
    </row>
    <row r="267" spans="1:14" ht="13">
      <c r="A267" s="5"/>
      <c r="B267" s="5"/>
      <c r="C267" s="5"/>
      <c r="D267" s="5"/>
      <c r="E267" s="5"/>
      <c r="G267" s="5" t="str">
        <f t="shared" si="15"/>
        <v>❌ FAILED: 6.4% - This person has probably not the right Codice Fiscale</v>
      </c>
      <c r="H267" s="6"/>
      <c r="I267" s="5" t="str">
        <f t="shared" si="14"/>
        <v>❌ FAIL - Wrong length (0/16 chars)</v>
      </c>
      <c r="J267" s="5" t="e">
        <f>_xlfn.LET(
  _xlpm.cf, UPPER(E267),
  _xlpm.data, D267,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67" s="5" t="e">
        <f t="shared" si="16"/>
        <v>#VALUE!</v>
      </c>
      <c r="L267" s="5" t="str">
        <f t="shared" si="17"/>
        <v xml:space="preserve">❌ FAIL - 8/50 points (1/6) - Expected: XXXXX, Found: </v>
      </c>
      <c r="M267" s="5" t="s">
        <v>24</v>
      </c>
      <c r="N267" s="5" t="s">
        <v>28</v>
      </c>
    </row>
    <row r="268" spans="1:14" ht="13">
      <c r="A268" s="5"/>
      <c r="B268" s="5"/>
      <c r="C268" s="5"/>
      <c r="D268" s="5"/>
      <c r="E268" s="5"/>
      <c r="G268" s="5" t="str">
        <f t="shared" si="15"/>
        <v>❌ FAILED: 6.4% - This person has probably not the right Codice Fiscale</v>
      </c>
      <c r="H268" s="6"/>
      <c r="I268" s="5" t="str">
        <f t="shared" si="14"/>
        <v>❌ FAIL - Wrong length (0/16 chars)</v>
      </c>
      <c r="J268" s="5" t="e">
        <f>_xlfn.LET(
  _xlpm.cf, UPPER(E268),
  _xlpm.data, D268,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68" s="5" t="e">
        <f t="shared" si="16"/>
        <v>#VALUE!</v>
      </c>
      <c r="L268" s="5" t="str">
        <f t="shared" si="17"/>
        <v xml:space="preserve">❌ FAIL - 8/50 points (1/6) - Expected: XXXXX, Found: </v>
      </c>
      <c r="M268" s="5" t="s">
        <v>24</v>
      </c>
      <c r="N268" s="5" t="s">
        <v>28</v>
      </c>
    </row>
    <row r="269" spans="1:14" ht="13">
      <c r="A269" s="5"/>
      <c r="B269" s="5"/>
      <c r="C269" s="5"/>
      <c r="D269" s="5"/>
      <c r="E269" s="5"/>
      <c r="G269" s="5" t="str">
        <f t="shared" si="15"/>
        <v>❌ FAILED: 6.4% - This person has probably not the right Codice Fiscale</v>
      </c>
      <c r="H269" s="6"/>
      <c r="I269" s="5" t="str">
        <f t="shared" si="14"/>
        <v>❌ FAIL - Wrong length (0/16 chars)</v>
      </c>
      <c r="J269" s="5" t="e">
        <f>_xlfn.LET(
  _xlpm.cf, UPPER(E269),
  _xlpm.data, D269,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69" s="5" t="e">
        <f t="shared" si="16"/>
        <v>#VALUE!</v>
      </c>
      <c r="L269" s="5" t="str">
        <f t="shared" si="17"/>
        <v xml:space="preserve">❌ FAIL - 8/50 points (1/6) - Expected: XXXXX, Found: </v>
      </c>
      <c r="M269" s="5" t="s">
        <v>24</v>
      </c>
      <c r="N269" s="5" t="s">
        <v>28</v>
      </c>
    </row>
    <row r="270" spans="1:14" ht="13">
      <c r="A270" s="5"/>
      <c r="B270" s="5"/>
      <c r="C270" s="5"/>
      <c r="D270" s="5"/>
      <c r="E270" s="5"/>
      <c r="G270" s="5" t="str">
        <f t="shared" si="15"/>
        <v>❌ FAILED: 6.4% - This person has probably not the right Codice Fiscale</v>
      </c>
      <c r="H270" s="6"/>
      <c r="I270" s="5" t="str">
        <f t="shared" si="14"/>
        <v>❌ FAIL - Wrong length (0/16 chars)</v>
      </c>
      <c r="J270" s="5" t="e">
        <f>_xlfn.LET(
  _xlpm.cf, UPPER(E270),
  _xlpm.data, D270,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70" s="5" t="e">
        <f t="shared" si="16"/>
        <v>#VALUE!</v>
      </c>
      <c r="L270" s="5" t="str">
        <f t="shared" si="17"/>
        <v xml:space="preserve">❌ FAIL - 8/50 points (1/6) - Expected: XXXXX, Found: </v>
      </c>
      <c r="M270" s="5" t="s">
        <v>24</v>
      </c>
      <c r="N270" s="5" t="s">
        <v>28</v>
      </c>
    </row>
    <row r="271" spans="1:14" ht="13">
      <c r="A271" s="5"/>
      <c r="B271" s="5"/>
      <c r="C271" s="5"/>
      <c r="D271" s="5"/>
      <c r="E271" s="5"/>
      <c r="G271" s="5" t="str">
        <f t="shared" si="15"/>
        <v>❌ FAILED: 6.4% - This person has probably not the right Codice Fiscale</v>
      </c>
      <c r="H271" s="6"/>
      <c r="I271" s="5" t="str">
        <f t="shared" si="14"/>
        <v>❌ FAIL - Wrong length (0/16 chars)</v>
      </c>
      <c r="J271" s="5" t="e">
        <f>_xlfn.LET(
  _xlpm.cf, UPPER(E271),
  _xlpm.data, D271,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71" s="5" t="e">
        <f t="shared" si="16"/>
        <v>#VALUE!</v>
      </c>
      <c r="L271" s="5" t="str">
        <f t="shared" si="17"/>
        <v xml:space="preserve">❌ FAIL - 8/50 points (1/6) - Expected: XXXXX, Found: </v>
      </c>
      <c r="M271" s="5" t="s">
        <v>24</v>
      </c>
      <c r="N271" s="5" t="s">
        <v>28</v>
      </c>
    </row>
    <row r="272" spans="1:14" ht="13">
      <c r="A272" s="5"/>
      <c r="B272" s="5"/>
      <c r="C272" s="5"/>
      <c r="D272" s="5"/>
      <c r="E272" s="5"/>
      <c r="G272" s="5" t="str">
        <f t="shared" si="15"/>
        <v>❌ FAILED: 6.4% - This person has probably not the right Codice Fiscale</v>
      </c>
      <c r="H272" s="6"/>
      <c r="I272" s="5" t="str">
        <f t="shared" si="14"/>
        <v>❌ FAIL - Wrong length (0/16 chars)</v>
      </c>
      <c r="J272" s="5" t="e">
        <f>_xlfn.LET(
  _xlpm.cf, UPPER(E272),
  _xlpm.data, D272,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72" s="5" t="e">
        <f t="shared" si="16"/>
        <v>#VALUE!</v>
      </c>
      <c r="L272" s="5" t="str">
        <f t="shared" si="17"/>
        <v xml:space="preserve">❌ FAIL - 8/50 points (1/6) - Expected: XXXXX, Found: </v>
      </c>
      <c r="M272" s="5" t="s">
        <v>24</v>
      </c>
      <c r="N272" s="5" t="s">
        <v>28</v>
      </c>
    </row>
    <row r="273" spans="1:14" ht="13">
      <c r="A273" s="5"/>
      <c r="B273" s="5"/>
      <c r="C273" s="5"/>
      <c r="D273" s="5"/>
      <c r="E273" s="5"/>
      <c r="G273" s="5" t="str">
        <f t="shared" si="15"/>
        <v>❌ FAILED: 6.4% - This person has probably not the right Codice Fiscale</v>
      </c>
      <c r="H273" s="6"/>
      <c r="I273" s="5" t="str">
        <f t="shared" si="14"/>
        <v>❌ FAIL - Wrong length (0/16 chars)</v>
      </c>
      <c r="J273" s="5" t="e">
        <f>_xlfn.LET(
  _xlpm.cf, UPPER(E273),
  _xlpm.data, D273,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73" s="5" t="e">
        <f t="shared" si="16"/>
        <v>#VALUE!</v>
      </c>
      <c r="L273" s="5" t="str">
        <f t="shared" si="17"/>
        <v xml:space="preserve">❌ FAIL - 8/50 points (1/6) - Expected: XXXXX, Found: </v>
      </c>
      <c r="M273" s="5" t="s">
        <v>24</v>
      </c>
      <c r="N273" s="5" t="s">
        <v>28</v>
      </c>
    </row>
    <row r="274" spans="1:14" ht="13">
      <c r="A274" s="5"/>
      <c r="B274" s="5"/>
      <c r="C274" s="5"/>
      <c r="D274" s="5"/>
      <c r="E274" s="5"/>
      <c r="G274" s="5" t="str">
        <f t="shared" si="15"/>
        <v>❌ FAILED: 6.4% - This person has probably not the right Codice Fiscale</v>
      </c>
      <c r="H274" s="6"/>
      <c r="I274" s="5" t="str">
        <f t="shared" si="14"/>
        <v>❌ FAIL - Wrong length (0/16 chars)</v>
      </c>
      <c r="J274" s="5" t="e">
        <f>_xlfn.LET(
  _xlpm.cf, UPPER(E274),
  _xlpm.data, D274,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74" s="5" t="e">
        <f t="shared" si="16"/>
        <v>#VALUE!</v>
      </c>
      <c r="L274" s="5" t="str">
        <f t="shared" si="17"/>
        <v xml:space="preserve">❌ FAIL - 8/50 points (1/6) - Expected: XXXXX, Found: </v>
      </c>
      <c r="M274" s="5" t="s">
        <v>24</v>
      </c>
      <c r="N274" s="5" t="s">
        <v>28</v>
      </c>
    </row>
    <row r="275" spans="1:14" ht="13">
      <c r="A275" s="5"/>
      <c r="B275" s="5"/>
      <c r="C275" s="5"/>
      <c r="D275" s="5"/>
      <c r="E275" s="5"/>
      <c r="G275" s="5" t="str">
        <f t="shared" si="15"/>
        <v>❌ FAILED: 6.4% - This person has probably not the right Codice Fiscale</v>
      </c>
      <c r="H275" s="6"/>
      <c r="I275" s="5" t="str">
        <f t="shared" si="14"/>
        <v>❌ FAIL - Wrong length (0/16 chars)</v>
      </c>
      <c r="J275" s="5" t="e">
        <f>_xlfn.LET(
  _xlpm.cf, UPPER(E275),
  _xlpm.data, D275,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75" s="5" t="e">
        <f t="shared" si="16"/>
        <v>#VALUE!</v>
      </c>
      <c r="L275" s="5" t="str">
        <f t="shared" si="17"/>
        <v xml:space="preserve">❌ FAIL - 8/50 points (1/6) - Expected: XXXXX, Found: </v>
      </c>
      <c r="M275" s="5" t="s">
        <v>24</v>
      </c>
      <c r="N275" s="5" t="s">
        <v>28</v>
      </c>
    </row>
    <row r="276" spans="1:14" ht="13">
      <c r="A276" s="5"/>
      <c r="B276" s="5"/>
      <c r="C276" s="5"/>
      <c r="D276" s="5"/>
      <c r="E276" s="5"/>
      <c r="G276" s="5" t="str">
        <f t="shared" si="15"/>
        <v>❌ FAILED: 6.4% - This person has probably not the right Codice Fiscale</v>
      </c>
      <c r="H276" s="6"/>
      <c r="I276" s="5" t="str">
        <f t="shared" si="14"/>
        <v>❌ FAIL - Wrong length (0/16 chars)</v>
      </c>
      <c r="J276" s="5" t="e">
        <f>_xlfn.LET(
  _xlpm.cf, UPPER(E276),
  _xlpm.data, D276,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76" s="5" t="e">
        <f t="shared" si="16"/>
        <v>#VALUE!</v>
      </c>
      <c r="L276" s="5" t="str">
        <f t="shared" si="17"/>
        <v xml:space="preserve">❌ FAIL - 8/50 points (1/6) - Expected: XXXXX, Found: </v>
      </c>
      <c r="M276" s="5" t="s">
        <v>24</v>
      </c>
      <c r="N276" s="5" t="s">
        <v>28</v>
      </c>
    </row>
    <row r="277" spans="1:14" ht="13">
      <c r="A277" s="5"/>
      <c r="B277" s="5"/>
      <c r="C277" s="5"/>
      <c r="D277" s="5"/>
      <c r="E277" s="5"/>
      <c r="G277" s="5" t="str">
        <f t="shared" si="15"/>
        <v>❌ FAILED: 6.4% - This person has probably not the right Codice Fiscale</v>
      </c>
      <c r="H277" s="6"/>
      <c r="I277" s="5" t="str">
        <f t="shared" si="14"/>
        <v>❌ FAIL - Wrong length (0/16 chars)</v>
      </c>
      <c r="J277" s="5" t="e">
        <f>_xlfn.LET(
  _xlpm.cf, UPPER(E277),
  _xlpm.data, D277,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77" s="5" t="e">
        <f t="shared" si="16"/>
        <v>#VALUE!</v>
      </c>
      <c r="L277" s="5" t="str">
        <f t="shared" si="17"/>
        <v xml:space="preserve">❌ FAIL - 8/50 points (1/6) - Expected: XXXXX, Found: </v>
      </c>
      <c r="M277" s="5" t="s">
        <v>24</v>
      </c>
      <c r="N277" s="5" t="s">
        <v>28</v>
      </c>
    </row>
    <row r="278" spans="1:14" ht="13">
      <c r="A278" s="5"/>
      <c r="B278" s="5"/>
      <c r="C278" s="5"/>
      <c r="D278" s="5"/>
      <c r="E278" s="5"/>
      <c r="G278" s="5" t="str">
        <f t="shared" si="15"/>
        <v>❌ FAILED: 6.4% - This person has probably not the right Codice Fiscale</v>
      </c>
      <c r="H278" s="6"/>
      <c r="I278" s="5" t="str">
        <f t="shared" si="14"/>
        <v>❌ FAIL - Wrong length (0/16 chars)</v>
      </c>
      <c r="J278" s="5" t="e">
        <f>_xlfn.LET(
  _xlpm.cf, UPPER(E278),
  _xlpm.data, D278,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78" s="5" t="e">
        <f t="shared" si="16"/>
        <v>#VALUE!</v>
      </c>
      <c r="L278" s="5" t="str">
        <f t="shared" si="17"/>
        <v xml:space="preserve">❌ FAIL - 8/50 points (1/6) - Expected: XXXXX, Found: </v>
      </c>
      <c r="M278" s="5" t="s">
        <v>24</v>
      </c>
      <c r="N278" s="5" t="s">
        <v>28</v>
      </c>
    </row>
    <row r="279" spans="1:14" ht="13">
      <c r="A279" s="5"/>
      <c r="B279" s="5"/>
      <c r="C279" s="5"/>
      <c r="D279" s="5"/>
      <c r="E279" s="5"/>
      <c r="G279" s="5" t="str">
        <f t="shared" si="15"/>
        <v>❌ FAILED: 6.4% - This person has probably not the right Codice Fiscale</v>
      </c>
      <c r="H279" s="6"/>
      <c r="I279" s="5" t="str">
        <f t="shared" si="14"/>
        <v>❌ FAIL - Wrong length (0/16 chars)</v>
      </c>
      <c r="J279" s="5" t="e">
        <f>_xlfn.LET(
  _xlpm.cf, UPPER(E279),
  _xlpm.data, D279,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79" s="5" t="e">
        <f t="shared" si="16"/>
        <v>#VALUE!</v>
      </c>
      <c r="L279" s="5" t="str">
        <f t="shared" si="17"/>
        <v xml:space="preserve">❌ FAIL - 8/50 points (1/6) - Expected: XXXXX, Found: </v>
      </c>
      <c r="M279" s="5" t="s">
        <v>24</v>
      </c>
      <c r="N279" s="5" t="s">
        <v>28</v>
      </c>
    </row>
    <row r="280" spans="1:14" ht="13">
      <c r="A280" s="5"/>
      <c r="B280" s="5"/>
      <c r="C280" s="5"/>
      <c r="D280" s="5"/>
      <c r="E280" s="5"/>
      <c r="G280" s="5" t="str">
        <f t="shared" si="15"/>
        <v>❌ FAILED: 6.4% - This person has probably not the right Codice Fiscale</v>
      </c>
      <c r="H280" s="6"/>
      <c r="I280" s="5" t="str">
        <f t="shared" si="14"/>
        <v>❌ FAIL - Wrong length (0/16 chars)</v>
      </c>
      <c r="J280" s="5" t="e">
        <f>_xlfn.LET(
  _xlpm.cf, UPPER(E280),
  _xlpm.data, D280,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80" s="5" t="e">
        <f t="shared" si="16"/>
        <v>#VALUE!</v>
      </c>
      <c r="L280" s="5" t="str">
        <f t="shared" si="17"/>
        <v xml:space="preserve">❌ FAIL - 8/50 points (1/6) - Expected: XXXXX, Found: </v>
      </c>
      <c r="M280" s="5" t="s">
        <v>24</v>
      </c>
      <c r="N280" s="5" t="s">
        <v>28</v>
      </c>
    </row>
    <row r="281" spans="1:14" ht="13">
      <c r="A281" s="5"/>
      <c r="B281" s="5"/>
      <c r="C281" s="5"/>
      <c r="D281" s="5"/>
      <c r="E281" s="5"/>
      <c r="G281" s="5" t="str">
        <f t="shared" si="15"/>
        <v>❌ FAILED: 6.4% - This person has probably not the right Codice Fiscale</v>
      </c>
      <c r="H281" s="6"/>
      <c r="I281" s="5" t="str">
        <f t="shared" si="14"/>
        <v>❌ FAIL - Wrong length (0/16 chars)</v>
      </c>
      <c r="J281" s="5" t="e">
        <f>_xlfn.LET(
  _xlpm.cf, UPPER(E281),
  _xlpm.data, D281,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81" s="5" t="e">
        <f t="shared" si="16"/>
        <v>#VALUE!</v>
      </c>
      <c r="L281" s="5" t="str">
        <f t="shared" si="17"/>
        <v xml:space="preserve">❌ FAIL - 8/50 points (1/6) - Expected: XXXXX, Found: </v>
      </c>
      <c r="M281" s="5" t="s">
        <v>24</v>
      </c>
      <c r="N281" s="5" t="s">
        <v>28</v>
      </c>
    </row>
    <row r="282" spans="1:14" ht="13">
      <c r="A282" s="5"/>
      <c r="B282" s="5"/>
      <c r="C282" s="5"/>
      <c r="D282" s="5"/>
      <c r="E282" s="5"/>
      <c r="G282" s="5" t="str">
        <f t="shared" si="15"/>
        <v>❌ FAILED: 6.4% - This person has probably not the right Codice Fiscale</v>
      </c>
      <c r="H282" s="6"/>
      <c r="I282" s="5" t="str">
        <f t="shared" si="14"/>
        <v>❌ FAIL - Wrong length (0/16 chars)</v>
      </c>
      <c r="J282" s="5" t="e">
        <f>_xlfn.LET(
  _xlpm.cf, UPPER(E282),
  _xlpm.data, D282,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82" s="5" t="e">
        <f t="shared" si="16"/>
        <v>#VALUE!</v>
      </c>
      <c r="L282" s="5" t="str">
        <f t="shared" si="17"/>
        <v xml:space="preserve">❌ FAIL - 8/50 points (1/6) - Expected: XXXXX, Found: </v>
      </c>
      <c r="M282" s="5" t="s">
        <v>24</v>
      </c>
      <c r="N282" s="5" t="s">
        <v>28</v>
      </c>
    </row>
    <row r="283" spans="1:14" ht="13">
      <c r="A283" s="5"/>
      <c r="B283" s="5"/>
      <c r="C283" s="5"/>
      <c r="D283" s="5"/>
      <c r="E283" s="5"/>
      <c r="G283" s="5" t="str">
        <f t="shared" si="15"/>
        <v>❌ FAILED: 6.4% - This person has probably not the right Codice Fiscale</v>
      </c>
      <c r="H283" s="6"/>
      <c r="I283" s="5" t="str">
        <f t="shared" si="14"/>
        <v>❌ FAIL - Wrong length (0/16 chars)</v>
      </c>
      <c r="J283" s="5" t="e">
        <f>_xlfn.LET(
  _xlpm.cf, UPPER(E283),
  _xlpm.data, D283,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83" s="5" t="e">
        <f t="shared" si="16"/>
        <v>#VALUE!</v>
      </c>
      <c r="L283" s="5" t="str">
        <f t="shared" si="17"/>
        <v xml:space="preserve">❌ FAIL - 8/50 points (1/6) - Expected: XXXXX, Found: </v>
      </c>
      <c r="M283" s="5" t="s">
        <v>24</v>
      </c>
      <c r="N283" s="5" t="s">
        <v>28</v>
      </c>
    </row>
    <row r="284" spans="1:14" ht="13">
      <c r="A284" s="5"/>
      <c r="B284" s="5"/>
      <c r="C284" s="5"/>
      <c r="D284" s="5"/>
      <c r="E284" s="5"/>
      <c r="G284" s="5" t="str">
        <f t="shared" si="15"/>
        <v>❌ FAILED: 6.4% - This person has probably not the right Codice Fiscale</v>
      </c>
      <c r="H284" s="6"/>
      <c r="I284" s="5" t="str">
        <f t="shared" si="14"/>
        <v>❌ FAIL - Wrong length (0/16 chars)</v>
      </c>
      <c r="J284" s="5" t="e">
        <f>_xlfn.LET(
  _xlpm.cf, UPPER(E284),
  _xlpm.data, D284,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84" s="5" t="e">
        <f t="shared" si="16"/>
        <v>#VALUE!</v>
      </c>
      <c r="L284" s="5" t="str">
        <f t="shared" si="17"/>
        <v xml:space="preserve">❌ FAIL - 8/50 points (1/6) - Expected: XXXXX, Found: </v>
      </c>
      <c r="M284" s="5" t="s">
        <v>24</v>
      </c>
      <c r="N284" s="5" t="s">
        <v>28</v>
      </c>
    </row>
    <row r="285" spans="1:14" ht="13">
      <c r="A285" s="5"/>
      <c r="B285" s="5"/>
      <c r="C285" s="5"/>
      <c r="D285" s="5"/>
      <c r="E285" s="5"/>
      <c r="G285" s="5" t="str">
        <f t="shared" si="15"/>
        <v>❌ FAILED: 6.4% - This person has probably not the right Codice Fiscale</v>
      </c>
      <c r="H285" s="6"/>
      <c r="I285" s="5" t="str">
        <f t="shared" si="14"/>
        <v>❌ FAIL - Wrong length (0/16 chars)</v>
      </c>
      <c r="J285" s="5" t="e">
        <f>_xlfn.LET(
  _xlpm.cf, UPPER(E285),
  _xlpm.data, D285,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85" s="5" t="e">
        <f t="shared" si="16"/>
        <v>#VALUE!</v>
      </c>
      <c r="L285" s="5" t="str">
        <f t="shared" si="17"/>
        <v xml:space="preserve">❌ FAIL - 8/50 points (1/6) - Expected: XXXXX, Found: </v>
      </c>
      <c r="M285" s="5" t="s">
        <v>24</v>
      </c>
      <c r="N285" s="5" t="s">
        <v>28</v>
      </c>
    </row>
    <row r="286" spans="1:14" ht="13">
      <c r="A286" s="5"/>
      <c r="B286" s="5"/>
      <c r="C286" s="5"/>
      <c r="D286" s="5"/>
      <c r="E286" s="5"/>
      <c r="G286" s="5" t="str">
        <f t="shared" si="15"/>
        <v>❌ FAILED: 6.4% - This person has probably not the right Codice Fiscale</v>
      </c>
      <c r="H286" s="6"/>
      <c r="I286" s="5" t="str">
        <f t="shared" si="14"/>
        <v>❌ FAIL - Wrong length (0/16 chars)</v>
      </c>
      <c r="J286" s="5" t="e">
        <f>_xlfn.LET(
  _xlpm.cf, UPPER(E286),
  _xlpm.data, D286,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86" s="5" t="e">
        <f t="shared" si="16"/>
        <v>#VALUE!</v>
      </c>
      <c r="L286" s="5" t="str">
        <f t="shared" si="17"/>
        <v xml:space="preserve">❌ FAIL - 8/50 points (1/6) - Expected: XXXXX, Found: </v>
      </c>
      <c r="M286" s="5" t="s">
        <v>24</v>
      </c>
      <c r="N286" s="5" t="s">
        <v>28</v>
      </c>
    </row>
    <row r="287" spans="1:14" ht="13">
      <c r="A287" s="5"/>
      <c r="B287" s="5"/>
      <c r="C287" s="5"/>
      <c r="D287" s="5"/>
      <c r="E287" s="5"/>
      <c r="G287" s="5" t="str">
        <f t="shared" si="15"/>
        <v>❌ FAILED: 6.4% - This person has probably not the right Codice Fiscale</v>
      </c>
      <c r="H287" s="6"/>
      <c r="I287" s="5" t="str">
        <f t="shared" si="14"/>
        <v>❌ FAIL - Wrong length (0/16 chars)</v>
      </c>
      <c r="J287" s="5" t="e">
        <f>_xlfn.LET(
  _xlpm.cf, UPPER(E287),
  _xlpm.data, D287,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87" s="5" t="e">
        <f t="shared" si="16"/>
        <v>#VALUE!</v>
      </c>
      <c r="L287" s="5" t="str">
        <f t="shared" si="17"/>
        <v xml:space="preserve">❌ FAIL - 8/50 points (1/6) - Expected: XXXXX, Found: </v>
      </c>
      <c r="M287" s="5" t="s">
        <v>24</v>
      </c>
      <c r="N287" s="5" t="s">
        <v>28</v>
      </c>
    </row>
    <row r="288" spans="1:14" ht="13">
      <c r="A288" s="5"/>
      <c r="B288" s="5"/>
      <c r="C288" s="5"/>
      <c r="D288" s="5"/>
      <c r="E288" s="5"/>
      <c r="G288" s="5" t="str">
        <f t="shared" si="15"/>
        <v>❌ FAILED: 6.4% - This person has probably not the right Codice Fiscale</v>
      </c>
      <c r="H288" s="6"/>
      <c r="I288" s="5" t="str">
        <f t="shared" si="14"/>
        <v>❌ FAIL - Wrong length (0/16 chars)</v>
      </c>
      <c r="J288" s="5" t="e">
        <f>_xlfn.LET(
  _xlpm.cf, UPPER(E288),
  _xlpm.data, D288,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88" s="5" t="e">
        <f t="shared" si="16"/>
        <v>#VALUE!</v>
      </c>
      <c r="L288" s="5" t="str">
        <f t="shared" si="17"/>
        <v xml:space="preserve">❌ FAIL - 8/50 points (1/6) - Expected: XXXXX, Found: </v>
      </c>
      <c r="M288" s="5" t="s">
        <v>24</v>
      </c>
      <c r="N288" s="5" t="s">
        <v>28</v>
      </c>
    </row>
    <row r="289" spans="1:14" ht="13">
      <c r="A289" s="5"/>
      <c r="B289" s="5"/>
      <c r="C289" s="5"/>
      <c r="D289" s="5"/>
      <c r="E289" s="5"/>
      <c r="G289" s="5" t="str">
        <f t="shared" si="15"/>
        <v>❌ FAILED: 6.4% - This person has probably not the right Codice Fiscale</v>
      </c>
      <c r="H289" s="6"/>
      <c r="I289" s="5" t="str">
        <f t="shared" si="14"/>
        <v>❌ FAIL - Wrong length (0/16 chars)</v>
      </c>
      <c r="J289" s="5" t="e">
        <f>_xlfn.LET(
  _xlpm.cf, UPPER(E289),
  _xlpm.data, D289,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89" s="5" t="e">
        <f t="shared" si="16"/>
        <v>#VALUE!</v>
      </c>
      <c r="L289" s="5" t="str">
        <f t="shared" si="17"/>
        <v xml:space="preserve">❌ FAIL - 8/50 points (1/6) - Expected: XXXXX, Found: </v>
      </c>
      <c r="M289" s="5" t="s">
        <v>24</v>
      </c>
      <c r="N289" s="5" t="s">
        <v>28</v>
      </c>
    </row>
    <row r="290" spans="1:14" ht="13">
      <c r="A290" s="5"/>
      <c r="B290" s="5"/>
      <c r="C290" s="5"/>
      <c r="D290" s="5"/>
      <c r="E290" s="5"/>
      <c r="G290" s="5" t="str">
        <f t="shared" si="15"/>
        <v>❌ FAILED: 6.4% - This person has probably not the right Codice Fiscale</v>
      </c>
      <c r="H290" s="6"/>
      <c r="I290" s="5" t="str">
        <f t="shared" si="14"/>
        <v>❌ FAIL - Wrong length (0/16 chars)</v>
      </c>
      <c r="J290" s="5" t="e">
        <f>_xlfn.LET(
  _xlpm.cf, UPPER(E290),
  _xlpm.data, D290,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90" s="5" t="e">
        <f t="shared" si="16"/>
        <v>#VALUE!</v>
      </c>
      <c r="L290" s="5" t="str">
        <f t="shared" si="17"/>
        <v xml:space="preserve">❌ FAIL - 8/50 points (1/6) - Expected: XXXXX, Found: </v>
      </c>
      <c r="M290" s="5" t="s">
        <v>24</v>
      </c>
      <c r="N290" s="5" t="s">
        <v>28</v>
      </c>
    </row>
    <row r="291" spans="1:14" ht="13">
      <c r="A291" s="5"/>
      <c r="B291" s="5"/>
      <c r="C291" s="5"/>
      <c r="D291" s="5"/>
      <c r="E291" s="5"/>
      <c r="G291" s="5" t="str">
        <f t="shared" si="15"/>
        <v>❌ FAILED: 6.4% - This person has probably not the right Codice Fiscale</v>
      </c>
      <c r="H291" s="6"/>
      <c r="I291" s="5" t="str">
        <f t="shared" si="14"/>
        <v>❌ FAIL - Wrong length (0/16 chars)</v>
      </c>
      <c r="J291" s="5" t="e">
        <f>_xlfn.LET(
  _xlpm.cf, UPPER(E291),
  _xlpm.data, D291,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91" s="5" t="e">
        <f t="shared" si="16"/>
        <v>#VALUE!</v>
      </c>
      <c r="L291" s="5" t="str">
        <f t="shared" si="17"/>
        <v xml:space="preserve">❌ FAIL - 8/50 points (1/6) - Expected: XXXXX, Found: </v>
      </c>
      <c r="M291" s="5" t="s">
        <v>24</v>
      </c>
      <c r="N291" s="5" t="s">
        <v>28</v>
      </c>
    </row>
    <row r="292" spans="1:14" ht="13">
      <c r="A292" s="5"/>
      <c r="B292" s="5"/>
      <c r="C292" s="5"/>
      <c r="D292" s="5"/>
      <c r="E292" s="5"/>
      <c r="G292" s="5" t="str">
        <f t="shared" si="15"/>
        <v>❌ FAILED: 6.4% - This person has probably not the right Codice Fiscale</v>
      </c>
      <c r="H292" s="6"/>
      <c r="I292" s="5" t="str">
        <f t="shared" si="14"/>
        <v>❌ FAIL - Wrong length (0/16 chars)</v>
      </c>
      <c r="J292" s="5" t="e">
        <f>_xlfn.LET(
  _xlpm.cf, UPPER(E292),
  _xlpm.data, D292,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92" s="5" t="e">
        <f t="shared" si="16"/>
        <v>#VALUE!</v>
      </c>
      <c r="L292" s="5" t="str">
        <f t="shared" si="17"/>
        <v xml:space="preserve">❌ FAIL - 8/50 points (1/6) - Expected: XXXXX, Found: </v>
      </c>
      <c r="M292" s="5" t="s">
        <v>24</v>
      </c>
      <c r="N292" s="5" t="s">
        <v>28</v>
      </c>
    </row>
    <row r="293" spans="1:14" ht="13">
      <c r="A293" s="5"/>
      <c r="B293" s="5"/>
      <c r="C293" s="5"/>
      <c r="D293" s="5"/>
      <c r="E293" s="5"/>
      <c r="G293" s="5" t="str">
        <f t="shared" si="15"/>
        <v>❌ FAILED: 6.4% - This person has probably not the right Codice Fiscale</v>
      </c>
      <c r="H293" s="6"/>
      <c r="I293" s="5" t="str">
        <f t="shared" si="14"/>
        <v>❌ FAIL - Wrong length (0/16 chars)</v>
      </c>
      <c r="J293" s="5" t="e">
        <f>_xlfn.LET(
  _xlpm.cf, UPPER(E293),
  _xlpm.data, D293,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93" s="5" t="e">
        <f t="shared" si="16"/>
        <v>#VALUE!</v>
      </c>
      <c r="L293" s="5" t="str">
        <f t="shared" si="17"/>
        <v xml:space="preserve">❌ FAIL - 8/50 points (1/6) - Expected: XXXXX, Found: </v>
      </c>
      <c r="M293" s="5" t="s">
        <v>24</v>
      </c>
      <c r="N293" s="5" t="s">
        <v>28</v>
      </c>
    </row>
    <row r="294" spans="1:14" ht="13">
      <c r="A294" s="5"/>
      <c r="B294" s="5"/>
      <c r="C294" s="5"/>
      <c r="D294" s="5"/>
      <c r="E294" s="5"/>
      <c r="G294" s="5" t="str">
        <f t="shared" si="15"/>
        <v>❌ FAILED: 6.4% - This person has probably not the right Codice Fiscale</v>
      </c>
      <c r="H294" s="6"/>
      <c r="I294" s="5" t="str">
        <f t="shared" si="14"/>
        <v>❌ FAIL - Wrong length (0/16 chars)</v>
      </c>
      <c r="J294" s="5" t="e">
        <f>_xlfn.LET(
  _xlpm.cf, UPPER(E294),
  _xlpm.data, D294,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94" s="5" t="e">
        <f t="shared" si="16"/>
        <v>#VALUE!</v>
      </c>
      <c r="L294" s="5" t="str">
        <f t="shared" si="17"/>
        <v xml:space="preserve">❌ FAIL - 8/50 points (1/6) - Expected: XXXXX, Found: </v>
      </c>
      <c r="M294" s="5" t="s">
        <v>24</v>
      </c>
      <c r="N294" s="5" t="s">
        <v>28</v>
      </c>
    </row>
    <row r="295" spans="1:14" ht="13">
      <c r="A295" s="5"/>
      <c r="B295" s="5"/>
      <c r="C295" s="5"/>
      <c r="D295" s="5"/>
      <c r="E295" s="5"/>
      <c r="G295" s="5" t="str">
        <f t="shared" si="15"/>
        <v>❌ FAILED: 6.4% - This person has probably not the right Codice Fiscale</v>
      </c>
      <c r="H295" s="6"/>
      <c r="I295" s="5" t="str">
        <f t="shared" si="14"/>
        <v>❌ FAIL - Wrong length (0/16 chars)</v>
      </c>
      <c r="J295" s="5" t="e">
        <f>_xlfn.LET(
  _xlpm.cf, UPPER(E295),
  _xlpm.data, D295,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95" s="5" t="e">
        <f t="shared" si="16"/>
        <v>#VALUE!</v>
      </c>
      <c r="L295" s="5" t="str">
        <f t="shared" si="17"/>
        <v xml:space="preserve">❌ FAIL - 8/50 points (1/6) - Expected: XXXXX, Found: </v>
      </c>
      <c r="M295" s="5" t="s">
        <v>24</v>
      </c>
      <c r="N295" s="5" t="s">
        <v>28</v>
      </c>
    </row>
    <row r="296" spans="1:14" ht="13">
      <c r="A296" s="5"/>
      <c r="B296" s="5"/>
      <c r="C296" s="5"/>
      <c r="D296" s="5"/>
      <c r="E296" s="5"/>
      <c r="G296" s="5" t="str">
        <f t="shared" si="15"/>
        <v>❌ FAILED: 6.4% - This person has probably not the right Codice Fiscale</v>
      </c>
      <c r="H296" s="6"/>
      <c r="I296" s="5" t="str">
        <f t="shared" si="14"/>
        <v>❌ FAIL - Wrong length (0/16 chars)</v>
      </c>
      <c r="J296" s="5" t="e">
        <f>_xlfn.LET(
  _xlpm.cf, UPPER(E296),
  _xlpm.data, D296,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96" s="5" t="e">
        <f t="shared" si="16"/>
        <v>#VALUE!</v>
      </c>
      <c r="L296" s="5" t="str">
        <f t="shared" si="17"/>
        <v xml:space="preserve">❌ FAIL - 8/50 points (1/6) - Expected: XXXXX, Found: </v>
      </c>
      <c r="M296" s="5" t="s">
        <v>24</v>
      </c>
      <c r="N296" s="5" t="s">
        <v>28</v>
      </c>
    </row>
    <row r="297" spans="1:14" ht="13">
      <c r="A297" s="5"/>
      <c r="B297" s="5"/>
      <c r="C297" s="5"/>
      <c r="D297" s="5"/>
      <c r="E297" s="5"/>
      <c r="G297" s="5" t="str">
        <f t="shared" si="15"/>
        <v>❌ FAILED: 6.4% - This person has probably not the right Codice Fiscale</v>
      </c>
      <c r="H297" s="6"/>
      <c r="I297" s="5" t="str">
        <f t="shared" si="14"/>
        <v>❌ FAIL - Wrong length (0/16 chars)</v>
      </c>
      <c r="J297" s="5" t="e">
        <f>_xlfn.LET(
  _xlpm.cf, UPPER(E297),
  _xlpm.data, D297,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97" s="5" t="e">
        <f t="shared" si="16"/>
        <v>#VALUE!</v>
      </c>
      <c r="L297" s="5" t="str">
        <f t="shared" si="17"/>
        <v xml:space="preserve">❌ FAIL - 8/50 points (1/6) - Expected: XXXXX, Found: </v>
      </c>
      <c r="M297" s="5" t="s">
        <v>24</v>
      </c>
      <c r="N297" s="5" t="s">
        <v>28</v>
      </c>
    </row>
    <row r="298" spans="1:14" ht="13">
      <c r="A298" s="5"/>
      <c r="B298" s="5"/>
      <c r="C298" s="5"/>
      <c r="D298" s="5"/>
      <c r="E298" s="5"/>
      <c r="G298" s="5" t="str">
        <f t="shared" si="15"/>
        <v>❌ FAILED: 6.4% - This person has probably not the right Codice Fiscale</v>
      </c>
      <c r="H298" s="6"/>
      <c r="I298" s="5" t="str">
        <f t="shared" si="14"/>
        <v>❌ FAIL - Wrong length (0/16 chars)</v>
      </c>
      <c r="J298" s="5" t="e">
        <f>_xlfn.LET(
  _xlpm.cf, UPPER(E298),
  _xlpm.data, D298,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98" s="5" t="e">
        <f t="shared" si="16"/>
        <v>#VALUE!</v>
      </c>
      <c r="L298" s="5" t="str">
        <f t="shared" si="17"/>
        <v xml:space="preserve">❌ FAIL - 8/50 points (1/6) - Expected: XXXXX, Found: </v>
      </c>
      <c r="M298" s="5" t="s">
        <v>24</v>
      </c>
      <c r="N298" s="5" t="s">
        <v>28</v>
      </c>
    </row>
    <row r="299" spans="1:14" ht="13">
      <c r="A299" s="5"/>
      <c r="B299" s="5"/>
      <c r="C299" s="5"/>
      <c r="D299" s="5"/>
      <c r="E299" s="5"/>
      <c r="G299" s="5" t="str">
        <f t="shared" si="15"/>
        <v>❌ FAILED: 6.4% - This person has probably not the right Codice Fiscale</v>
      </c>
      <c r="H299" s="6"/>
      <c r="I299" s="5" t="str">
        <f t="shared" si="14"/>
        <v>❌ FAIL - Wrong length (0/16 chars)</v>
      </c>
      <c r="J299" s="5" t="e">
        <f>_xlfn.LET(
  _xlpm.cf, UPPER(E299),
  _xlpm.data, D299,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299" s="5" t="e">
        <f t="shared" si="16"/>
        <v>#VALUE!</v>
      </c>
      <c r="L299" s="5" t="str">
        <f t="shared" si="17"/>
        <v xml:space="preserve">❌ FAIL - 8/50 points (1/6) - Expected: XXXXX, Found: </v>
      </c>
      <c r="M299" s="5" t="s">
        <v>24</v>
      </c>
      <c r="N299" s="5" t="s">
        <v>28</v>
      </c>
    </row>
    <row r="300" spans="1:14" ht="13">
      <c r="A300" s="5"/>
      <c r="B300" s="5"/>
      <c r="C300" s="5"/>
      <c r="D300" s="5"/>
      <c r="E300" s="5"/>
      <c r="G300" s="5" t="str">
        <f t="shared" si="15"/>
        <v>❌ FAILED: 6.4% - This person has probably not the right Codice Fiscale</v>
      </c>
      <c r="H300" s="6"/>
      <c r="I300" s="5" t="str">
        <f t="shared" si="14"/>
        <v>❌ FAIL - Wrong length (0/16 chars)</v>
      </c>
      <c r="J300" s="5" t="e">
        <f>_xlfn.LET(
  _xlpm.cf, UPPER(E300),
  _xlpm.data, D300,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00" s="5" t="e">
        <f t="shared" si="16"/>
        <v>#VALUE!</v>
      </c>
      <c r="L300" s="5" t="str">
        <f t="shared" si="17"/>
        <v xml:space="preserve">❌ FAIL - 8/50 points (1/6) - Expected: XXXXX, Found: </v>
      </c>
      <c r="M300" s="5" t="s">
        <v>24</v>
      </c>
      <c r="N300" s="5" t="s">
        <v>28</v>
      </c>
    </row>
    <row r="301" spans="1:14" ht="13">
      <c r="A301" s="5"/>
      <c r="B301" s="5"/>
      <c r="C301" s="5"/>
      <c r="D301" s="5"/>
      <c r="E301" s="5"/>
      <c r="G301" s="5" t="str">
        <f t="shared" si="15"/>
        <v>❌ FAILED: 6.4% - This person has probably not the right Codice Fiscale</v>
      </c>
      <c r="H301" s="6"/>
      <c r="I301" s="5" t="str">
        <f t="shared" si="14"/>
        <v>❌ FAIL - Wrong length (0/16 chars)</v>
      </c>
      <c r="J301" s="5" t="e">
        <f>_xlfn.LET(
  _xlpm.cf, UPPER(E301),
  _xlpm.data, D301,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01" s="5" t="e">
        <f t="shared" si="16"/>
        <v>#VALUE!</v>
      </c>
      <c r="L301" s="5" t="str">
        <f t="shared" si="17"/>
        <v xml:space="preserve">❌ FAIL - 8/50 points (1/6) - Expected: XXXXX, Found: </v>
      </c>
      <c r="M301" s="5" t="s">
        <v>24</v>
      </c>
      <c r="N301" s="5" t="s">
        <v>28</v>
      </c>
    </row>
    <row r="302" spans="1:14" ht="13">
      <c r="A302" s="5"/>
      <c r="B302" s="5"/>
      <c r="C302" s="5"/>
      <c r="D302" s="5"/>
      <c r="E302" s="5"/>
      <c r="G302" s="5" t="str">
        <f t="shared" si="15"/>
        <v>❌ FAILED: 6.4% - This person has probably not the right Codice Fiscale</v>
      </c>
      <c r="H302" s="6"/>
      <c r="I302" s="5" t="str">
        <f t="shared" si="14"/>
        <v>❌ FAIL - Wrong length (0/16 chars)</v>
      </c>
      <c r="J302" s="5" t="e">
        <f>_xlfn.LET(
  _xlpm.cf, UPPER(E302),
  _xlpm.data, D302,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02" s="5" t="e">
        <f t="shared" si="16"/>
        <v>#VALUE!</v>
      </c>
      <c r="L302" s="5" t="str">
        <f t="shared" si="17"/>
        <v xml:space="preserve">❌ FAIL - 8/50 points (1/6) - Expected: XXXXX, Found: </v>
      </c>
      <c r="M302" s="5" t="s">
        <v>24</v>
      </c>
      <c r="N302" s="5" t="s">
        <v>28</v>
      </c>
    </row>
    <row r="303" spans="1:14" ht="13">
      <c r="A303" s="5"/>
      <c r="B303" s="5"/>
      <c r="C303" s="5"/>
      <c r="D303" s="5"/>
      <c r="E303" s="5"/>
      <c r="G303" s="5" t="str">
        <f t="shared" si="15"/>
        <v>❌ FAILED: 6.4% - This person has probably not the right Codice Fiscale</v>
      </c>
      <c r="H303" s="6"/>
      <c r="I303" s="5" t="str">
        <f t="shared" si="14"/>
        <v>❌ FAIL - Wrong length (0/16 chars)</v>
      </c>
      <c r="J303" s="5" t="e">
        <f>_xlfn.LET(
  _xlpm.cf, UPPER(E303),
  _xlpm.data, D303,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03" s="5" t="e">
        <f t="shared" si="16"/>
        <v>#VALUE!</v>
      </c>
      <c r="L303" s="5" t="str">
        <f t="shared" si="17"/>
        <v xml:space="preserve">❌ FAIL - 8/50 points (1/6) - Expected: XXXXX, Found: </v>
      </c>
      <c r="M303" s="5" t="s">
        <v>24</v>
      </c>
      <c r="N303" s="5" t="s">
        <v>28</v>
      </c>
    </row>
    <row r="304" spans="1:14" ht="13">
      <c r="A304" s="5"/>
      <c r="B304" s="5"/>
      <c r="C304" s="5"/>
      <c r="D304" s="5"/>
      <c r="E304" s="5"/>
      <c r="G304" s="5" t="str">
        <f t="shared" si="15"/>
        <v>❌ FAILED: 6.4% - This person has probably not the right Codice Fiscale</v>
      </c>
      <c r="H304" s="6"/>
      <c r="I304" s="5" t="str">
        <f t="shared" si="14"/>
        <v>❌ FAIL - Wrong length (0/16 chars)</v>
      </c>
      <c r="J304" s="5" t="e">
        <f>_xlfn.LET(
  _xlpm.cf, UPPER(E304),
  _xlpm.data, D304,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04" s="5" t="e">
        <f t="shared" si="16"/>
        <v>#VALUE!</v>
      </c>
      <c r="L304" s="5" t="str">
        <f t="shared" si="17"/>
        <v xml:space="preserve">❌ FAIL - 8/50 points (1/6) - Expected: XXXXX, Found: </v>
      </c>
      <c r="M304" s="5" t="s">
        <v>24</v>
      </c>
      <c r="N304" s="5" t="s">
        <v>28</v>
      </c>
    </row>
    <row r="305" spans="1:14" ht="13">
      <c r="A305" s="5"/>
      <c r="B305" s="5"/>
      <c r="C305" s="5"/>
      <c r="D305" s="5"/>
      <c r="E305" s="5"/>
      <c r="G305" s="5" t="str">
        <f t="shared" si="15"/>
        <v>❌ FAILED: 6.4% - This person has probably not the right Codice Fiscale</v>
      </c>
      <c r="H305" s="6"/>
      <c r="I305" s="5" t="str">
        <f t="shared" si="14"/>
        <v>❌ FAIL - Wrong length (0/16 chars)</v>
      </c>
      <c r="J305" s="5" t="e">
        <f>_xlfn.LET(
  _xlpm.cf, UPPER(E305),
  _xlpm.data, D305,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05" s="5" t="e">
        <f t="shared" si="16"/>
        <v>#VALUE!</v>
      </c>
      <c r="L305" s="5" t="str">
        <f t="shared" si="17"/>
        <v xml:space="preserve">❌ FAIL - 8/50 points (1/6) - Expected: XXXXX, Found: </v>
      </c>
      <c r="M305" s="5" t="s">
        <v>24</v>
      </c>
      <c r="N305" s="5" t="s">
        <v>28</v>
      </c>
    </row>
    <row r="306" spans="1:14" ht="13">
      <c r="A306" s="5"/>
      <c r="B306" s="5"/>
      <c r="C306" s="5"/>
      <c r="D306" s="5"/>
      <c r="E306" s="5"/>
      <c r="G306" s="5" t="str">
        <f t="shared" si="15"/>
        <v>❌ FAILED: 6.4% - This person has probably not the right Codice Fiscale</v>
      </c>
      <c r="H306" s="6"/>
      <c r="I306" s="5" t="str">
        <f t="shared" si="14"/>
        <v>❌ FAIL - Wrong length (0/16 chars)</v>
      </c>
      <c r="J306" s="5" t="e">
        <f>_xlfn.LET(
  _xlpm.cf, UPPER(E306),
  _xlpm.data, D306,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06" s="5" t="e">
        <f t="shared" si="16"/>
        <v>#VALUE!</v>
      </c>
      <c r="L306" s="5" t="str">
        <f t="shared" si="17"/>
        <v xml:space="preserve">❌ FAIL - 8/50 points (1/6) - Expected: XXXXX, Found: </v>
      </c>
      <c r="M306" s="5" t="s">
        <v>24</v>
      </c>
      <c r="N306" s="5" t="s">
        <v>28</v>
      </c>
    </row>
    <row r="307" spans="1:14" ht="13">
      <c r="A307" s="5"/>
      <c r="B307" s="5"/>
      <c r="C307" s="5"/>
      <c r="D307" s="5"/>
      <c r="E307" s="5"/>
      <c r="G307" s="5" t="str">
        <f t="shared" si="15"/>
        <v>❌ FAILED: 6.4% - This person has probably not the right Codice Fiscale</v>
      </c>
      <c r="H307" s="6"/>
      <c r="I307" s="5" t="str">
        <f t="shared" si="14"/>
        <v>❌ FAIL - Wrong length (0/16 chars)</v>
      </c>
      <c r="J307" s="5" t="e">
        <f>_xlfn.LET(
  _xlpm.cf, UPPER(E307),
  _xlpm.data, D307,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07" s="5" t="e">
        <f t="shared" si="16"/>
        <v>#VALUE!</v>
      </c>
      <c r="L307" s="5" t="str">
        <f t="shared" si="17"/>
        <v xml:space="preserve">❌ FAIL - 8/50 points (1/6) - Expected: XXXXX, Found: </v>
      </c>
      <c r="M307" s="5" t="s">
        <v>24</v>
      </c>
      <c r="N307" s="5" t="s">
        <v>28</v>
      </c>
    </row>
    <row r="308" spans="1:14" ht="13">
      <c r="A308" s="5"/>
      <c r="B308" s="5"/>
      <c r="C308" s="5"/>
      <c r="D308" s="5"/>
      <c r="E308" s="5"/>
      <c r="G308" s="5" t="str">
        <f t="shared" si="15"/>
        <v>❌ FAILED: 6.4% - This person has probably not the right Codice Fiscale</v>
      </c>
      <c r="H308" s="6"/>
      <c r="I308" s="5" t="str">
        <f t="shared" si="14"/>
        <v>❌ FAIL - Wrong length (0/16 chars)</v>
      </c>
      <c r="J308" s="5" t="e">
        <f>_xlfn.LET(
  _xlpm.cf, UPPER(E308),
  _xlpm.data, D308,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08" s="5" t="e">
        <f t="shared" si="16"/>
        <v>#VALUE!</v>
      </c>
      <c r="L308" s="5" t="str">
        <f t="shared" si="17"/>
        <v xml:space="preserve">❌ FAIL - 8/50 points (1/6) - Expected: XXXXX, Found: </v>
      </c>
      <c r="M308" s="5" t="s">
        <v>24</v>
      </c>
      <c r="N308" s="5" t="s">
        <v>28</v>
      </c>
    </row>
    <row r="309" spans="1:14" ht="13">
      <c r="A309" s="5"/>
      <c r="B309" s="5"/>
      <c r="C309" s="5"/>
      <c r="D309" s="5"/>
      <c r="E309" s="5"/>
      <c r="G309" s="5" t="str">
        <f t="shared" si="15"/>
        <v>❌ FAILED: 6.4% - This person has probably not the right Codice Fiscale</v>
      </c>
      <c r="H309" s="6"/>
      <c r="I309" s="5" t="str">
        <f t="shared" si="14"/>
        <v>❌ FAIL - Wrong length (0/16 chars)</v>
      </c>
      <c r="J309" s="5" t="e">
        <f>_xlfn.LET(
  _xlpm.cf, UPPER(E309),
  _xlpm.data, D309,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09" s="5" t="e">
        <f t="shared" si="16"/>
        <v>#VALUE!</v>
      </c>
      <c r="L309" s="5" t="str">
        <f t="shared" si="17"/>
        <v xml:space="preserve">❌ FAIL - 8/50 points (1/6) - Expected: XXXXX, Found: </v>
      </c>
      <c r="M309" s="5" t="s">
        <v>24</v>
      </c>
      <c r="N309" s="5" t="s">
        <v>28</v>
      </c>
    </row>
    <row r="310" spans="1:14" ht="13">
      <c r="A310" s="5"/>
      <c r="B310" s="5"/>
      <c r="C310" s="5"/>
      <c r="D310" s="5"/>
      <c r="E310" s="5"/>
      <c r="G310" s="5" t="str">
        <f t="shared" si="15"/>
        <v>❌ FAILED: 6.4% - This person has probably not the right Codice Fiscale</v>
      </c>
      <c r="H310" s="6"/>
      <c r="I310" s="5" t="str">
        <f t="shared" si="14"/>
        <v>❌ FAIL - Wrong length (0/16 chars)</v>
      </c>
      <c r="J310" s="5" t="e">
        <f>_xlfn.LET(
  _xlpm.cf, UPPER(E310),
  _xlpm.data, D310,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10" s="5" t="e">
        <f t="shared" si="16"/>
        <v>#VALUE!</v>
      </c>
      <c r="L310" s="5" t="str">
        <f t="shared" si="17"/>
        <v xml:space="preserve">❌ FAIL - 8/50 points (1/6) - Expected: XXXXX, Found: </v>
      </c>
      <c r="M310" s="5" t="s">
        <v>24</v>
      </c>
      <c r="N310" s="5" t="s">
        <v>28</v>
      </c>
    </row>
    <row r="311" spans="1:14" ht="13">
      <c r="A311" s="5"/>
      <c r="B311" s="5"/>
      <c r="C311" s="5"/>
      <c r="D311" s="5"/>
      <c r="E311" s="5"/>
      <c r="G311" s="5" t="str">
        <f t="shared" si="15"/>
        <v>❌ FAILED: 6.4% - This person has probably not the right Codice Fiscale</v>
      </c>
      <c r="H311" s="6"/>
      <c r="I311" s="5" t="str">
        <f t="shared" si="14"/>
        <v>❌ FAIL - Wrong length (0/16 chars)</v>
      </c>
      <c r="J311" s="5" t="e">
        <f>_xlfn.LET(
  _xlpm.cf, UPPER(E311),
  _xlpm.data, D311,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11" s="5" t="e">
        <f t="shared" si="16"/>
        <v>#VALUE!</v>
      </c>
      <c r="L311" s="5" t="str">
        <f t="shared" si="17"/>
        <v xml:space="preserve">❌ FAIL - 8/50 points (1/6) - Expected: XXXXX, Found: </v>
      </c>
      <c r="M311" s="5" t="s">
        <v>24</v>
      </c>
      <c r="N311" s="5" t="s">
        <v>28</v>
      </c>
    </row>
    <row r="312" spans="1:14" ht="13">
      <c r="A312" s="5"/>
      <c r="B312" s="5"/>
      <c r="C312" s="5"/>
      <c r="D312" s="5"/>
      <c r="E312" s="5"/>
      <c r="G312" s="5" t="str">
        <f t="shared" si="15"/>
        <v>❌ FAILED: 6.4% - This person has probably not the right Codice Fiscale</v>
      </c>
      <c r="H312" s="6"/>
      <c r="I312" s="5" t="str">
        <f t="shared" si="14"/>
        <v>❌ FAIL - Wrong length (0/16 chars)</v>
      </c>
      <c r="J312" s="5" t="e">
        <f>_xlfn.LET(
  _xlpm.cf, UPPER(E312),
  _xlpm.data, D312,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12" s="5" t="e">
        <f t="shared" si="16"/>
        <v>#VALUE!</v>
      </c>
      <c r="L312" s="5" t="str">
        <f t="shared" si="17"/>
        <v xml:space="preserve">❌ FAIL - 8/50 points (1/6) - Expected: XXXXX, Found: </v>
      </c>
      <c r="M312" s="5" t="s">
        <v>24</v>
      </c>
      <c r="N312" s="5" t="s">
        <v>28</v>
      </c>
    </row>
    <row r="313" spans="1:14" ht="13">
      <c r="A313" s="5"/>
      <c r="B313" s="5"/>
      <c r="C313" s="5"/>
      <c r="D313" s="5"/>
      <c r="E313" s="5"/>
      <c r="G313" s="5" t="str">
        <f t="shared" si="15"/>
        <v>❌ FAILED: 6.4% - This person has probably not the right Codice Fiscale</v>
      </c>
      <c r="H313" s="6"/>
      <c r="I313" s="5" t="str">
        <f t="shared" si="14"/>
        <v>❌ FAIL - Wrong length (0/16 chars)</v>
      </c>
      <c r="J313" s="5" t="e">
        <f>_xlfn.LET(
  _xlpm.cf, UPPER(E313),
  _xlpm.data, D313,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13" s="5" t="e">
        <f t="shared" si="16"/>
        <v>#VALUE!</v>
      </c>
      <c r="L313" s="5" t="str">
        <f t="shared" si="17"/>
        <v xml:space="preserve">❌ FAIL - 8/50 points (1/6) - Expected: XXXXX, Found: </v>
      </c>
      <c r="M313" s="5" t="s">
        <v>24</v>
      </c>
      <c r="N313" s="5" t="s">
        <v>28</v>
      </c>
    </row>
    <row r="314" spans="1:14" ht="13">
      <c r="A314" s="5"/>
      <c r="B314" s="5"/>
      <c r="C314" s="5"/>
      <c r="D314" s="5"/>
      <c r="E314" s="5"/>
      <c r="G314" s="5" t="str">
        <f t="shared" si="15"/>
        <v>❌ FAILED: 6.4% - This person has probably not the right Codice Fiscale</v>
      </c>
      <c r="H314" s="6"/>
      <c r="I314" s="5" t="str">
        <f t="shared" si="14"/>
        <v>❌ FAIL - Wrong length (0/16 chars)</v>
      </c>
      <c r="J314" s="5" t="e">
        <f>_xlfn.LET(
  _xlpm.cf, UPPER(E314),
  _xlpm.data, D314,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14" s="5" t="e">
        <f t="shared" si="16"/>
        <v>#VALUE!</v>
      </c>
      <c r="L314" s="5" t="str">
        <f t="shared" si="17"/>
        <v xml:space="preserve">❌ FAIL - 8/50 points (1/6) - Expected: XXXXX, Found: </v>
      </c>
      <c r="M314" s="5" t="s">
        <v>24</v>
      </c>
      <c r="N314" s="5" t="s">
        <v>28</v>
      </c>
    </row>
    <row r="315" spans="1:14" ht="13">
      <c r="A315" s="5"/>
      <c r="B315" s="5"/>
      <c r="C315" s="5"/>
      <c r="D315" s="5"/>
      <c r="E315" s="5"/>
      <c r="G315" s="5" t="str">
        <f t="shared" si="15"/>
        <v>❌ FAILED: 6.4% - This person has probably not the right Codice Fiscale</v>
      </c>
      <c r="H315" s="6"/>
      <c r="I315" s="5" t="str">
        <f t="shared" si="14"/>
        <v>❌ FAIL - Wrong length (0/16 chars)</v>
      </c>
      <c r="J315" s="5" t="e">
        <f>_xlfn.LET(
  _xlpm.cf, UPPER(E315),
  _xlpm.data, D315,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15" s="5" t="e">
        <f t="shared" si="16"/>
        <v>#VALUE!</v>
      </c>
      <c r="L315" s="5" t="str">
        <f t="shared" si="17"/>
        <v xml:space="preserve">❌ FAIL - 8/50 points (1/6) - Expected: XXXXX, Found: </v>
      </c>
      <c r="M315" s="5" t="s">
        <v>24</v>
      </c>
      <c r="N315" s="5" t="s">
        <v>28</v>
      </c>
    </row>
    <row r="316" spans="1:14" ht="13">
      <c r="A316" s="5"/>
      <c r="B316" s="5"/>
      <c r="C316" s="5"/>
      <c r="D316" s="5"/>
      <c r="E316" s="5"/>
      <c r="G316" s="5" t="str">
        <f t="shared" si="15"/>
        <v>❌ FAILED: 6.4% - This person has probably not the right Codice Fiscale</v>
      </c>
      <c r="H316" s="6"/>
      <c r="I316" s="5" t="str">
        <f t="shared" si="14"/>
        <v>❌ FAIL - Wrong length (0/16 chars)</v>
      </c>
      <c r="J316" s="5" t="e">
        <f>_xlfn.LET(
  _xlpm.cf, UPPER(E316),
  _xlpm.data, D316,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16" s="5" t="e">
        <f t="shared" si="16"/>
        <v>#VALUE!</v>
      </c>
      <c r="L316" s="5" t="str">
        <f t="shared" si="17"/>
        <v xml:space="preserve">❌ FAIL - 8/50 points (1/6) - Expected: XXXXX, Found: </v>
      </c>
      <c r="M316" s="5" t="s">
        <v>24</v>
      </c>
      <c r="N316" s="5" t="s">
        <v>28</v>
      </c>
    </row>
    <row r="317" spans="1:14" ht="13">
      <c r="A317" s="5"/>
      <c r="B317" s="5"/>
      <c r="C317" s="5"/>
      <c r="D317" s="5"/>
      <c r="E317" s="5"/>
      <c r="G317" s="5" t="str">
        <f t="shared" si="15"/>
        <v>❌ FAILED: 6.4% - This person has probably not the right Codice Fiscale</v>
      </c>
      <c r="H317" s="6"/>
      <c r="I317" s="5" t="str">
        <f t="shared" si="14"/>
        <v>❌ FAIL - Wrong length (0/16 chars)</v>
      </c>
      <c r="J317" s="5" t="e">
        <f>_xlfn.LET(
  _xlpm.cf, UPPER(E317),
  _xlpm.data, D317,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17" s="5" t="e">
        <f t="shared" si="16"/>
        <v>#VALUE!</v>
      </c>
      <c r="L317" s="5" t="str">
        <f t="shared" si="17"/>
        <v xml:space="preserve">❌ FAIL - 8/50 points (1/6) - Expected: XXXXX, Found: </v>
      </c>
      <c r="M317" s="5" t="s">
        <v>24</v>
      </c>
      <c r="N317" s="5" t="s">
        <v>28</v>
      </c>
    </row>
    <row r="318" spans="1:14" ht="13">
      <c r="A318" s="5"/>
      <c r="B318" s="5"/>
      <c r="C318" s="5"/>
      <c r="D318" s="5"/>
      <c r="E318" s="5"/>
      <c r="G318" s="5" t="str">
        <f t="shared" si="15"/>
        <v>❌ FAILED: 6.4% - This person has probably not the right Codice Fiscale</v>
      </c>
      <c r="H318" s="6"/>
      <c r="I318" s="5" t="str">
        <f t="shared" si="14"/>
        <v>❌ FAIL - Wrong length (0/16 chars)</v>
      </c>
      <c r="J318" s="5" t="e">
        <f>_xlfn.LET(
  _xlpm.cf, UPPER(E318),
  _xlpm.data, D318,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18" s="5" t="e">
        <f t="shared" si="16"/>
        <v>#VALUE!</v>
      </c>
      <c r="L318" s="5" t="str">
        <f t="shared" si="17"/>
        <v xml:space="preserve">❌ FAIL - 8/50 points (1/6) - Expected: XXXXX, Found: </v>
      </c>
      <c r="M318" s="5" t="s">
        <v>24</v>
      </c>
      <c r="N318" s="5" t="s">
        <v>28</v>
      </c>
    </row>
    <row r="319" spans="1:14" ht="13">
      <c r="A319" s="5"/>
      <c r="B319" s="5"/>
      <c r="C319" s="5"/>
      <c r="D319" s="5"/>
      <c r="E319" s="5"/>
      <c r="G319" s="5" t="str">
        <f t="shared" si="15"/>
        <v>❌ FAILED: 6.4% - This person has probably not the right Codice Fiscale</v>
      </c>
      <c r="H319" s="6"/>
      <c r="I319" s="5" t="str">
        <f t="shared" si="14"/>
        <v>❌ FAIL - Wrong length (0/16 chars)</v>
      </c>
      <c r="J319" s="5" t="e">
        <f>_xlfn.LET(
  _xlpm.cf, UPPER(E319),
  _xlpm.data, D319,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19" s="5" t="e">
        <f t="shared" si="16"/>
        <v>#VALUE!</v>
      </c>
      <c r="L319" s="5" t="str">
        <f t="shared" si="17"/>
        <v xml:space="preserve">❌ FAIL - 8/50 points (1/6) - Expected: XXXXX, Found: </v>
      </c>
      <c r="M319" s="5" t="s">
        <v>24</v>
      </c>
      <c r="N319" s="5" t="s">
        <v>28</v>
      </c>
    </row>
    <row r="320" spans="1:14" ht="13">
      <c r="A320" s="5"/>
      <c r="B320" s="5"/>
      <c r="C320" s="5"/>
      <c r="D320" s="5"/>
      <c r="E320" s="5"/>
      <c r="G320" s="5" t="str">
        <f t="shared" si="15"/>
        <v>❌ FAILED: 6.4% - This person has probably not the right Codice Fiscale</v>
      </c>
      <c r="H320" s="6"/>
      <c r="I320" s="5" t="str">
        <f t="shared" si="14"/>
        <v>❌ FAIL - Wrong length (0/16 chars)</v>
      </c>
      <c r="J320" s="5" t="e">
        <f>_xlfn.LET(
  _xlpm.cf, UPPER(E320),
  _xlpm.data, D320,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20" s="5" t="e">
        <f t="shared" si="16"/>
        <v>#VALUE!</v>
      </c>
      <c r="L320" s="5" t="str">
        <f t="shared" si="17"/>
        <v xml:space="preserve">❌ FAIL - 8/50 points (1/6) - Expected: XXXXX, Found: </v>
      </c>
      <c r="M320" s="5" t="s">
        <v>24</v>
      </c>
      <c r="N320" s="5" t="s">
        <v>28</v>
      </c>
    </row>
    <row r="321" spans="1:14" ht="13">
      <c r="A321" s="5"/>
      <c r="B321" s="5"/>
      <c r="C321" s="5"/>
      <c r="D321" s="5"/>
      <c r="E321" s="5"/>
      <c r="G321" s="5" t="str">
        <f t="shared" si="15"/>
        <v>❌ FAILED: 6.4% - This person has probably not the right Codice Fiscale</v>
      </c>
      <c r="H321" s="6"/>
      <c r="I321" s="5" t="str">
        <f t="shared" si="14"/>
        <v>❌ FAIL - Wrong length (0/16 chars)</v>
      </c>
      <c r="J321" s="5" t="e">
        <f>_xlfn.LET(
  _xlpm.cf, UPPER(E321),
  _xlpm.data, D321,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21" s="5" t="e">
        <f t="shared" si="16"/>
        <v>#VALUE!</v>
      </c>
      <c r="L321" s="5" t="str">
        <f t="shared" si="17"/>
        <v xml:space="preserve">❌ FAIL - 8/50 points (1/6) - Expected: XXXXX, Found: </v>
      </c>
      <c r="M321" s="5" t="s">
        <v>24</v>
      </c>
      <c r="N321" s="5" t="s">
        <v>28</v>
      </c>
    </row>
    <row r="322" spans="1:14" ht="13">
      <c r="A322" s="5"/>
      <c r="B322" s="5"/>
      <c r="C322" s="5"/>
      <c r="D322" s="5"/>
      <c r="E322" s="5"/>
      <c r="G322" s="5" t="str">
        <f t="shared" si="15"/>
        <v>❌ FAILED: 6.4% - This person has probably not the right Codice Fiscale</v>
      </c>
      <c r="H322" s="6"/>
      <c r="I322" s="5" t="str">
        <f t="shared" si="14"/>
        <v>❌ FAIL - Wrong length (0/16 chars)</v>
      </c>
      <c r="J322" s="5" t="e">
        <f>_xlfn.LET(
  _xlpm.cf, UPPER(E322),
  _xlpm.data, D322,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22" s="5" t="e">
        <f t="shared" si="16"/>
        <v>#VALUE!</v>
      </c>
      <c r="L322" s="5" t="str">
        <f t="shared" si="17"/>
        <v xml:space="preserve">❌ FAIL - 8/50 points (1/6) - Expected: XXXXX, Found: </v>
      </c>
      <c r="M322" s="5" t="s">
        <v>24</v>
      </c>
      <c r="N322" s="5" t="s">
        <v>28</v>
      </c>
    </row>
    <row r="323" spans="1:14" ht="13">
      <c r="A323" s="5"/>
      <c r="B323" s="5"/>
      <c r="C323" s="5"/>
      <c r="D323" s="5"/>
      <c r="E323" s="5"/>
      <c r="G323" s="5" t="str">
        <f t="shared" ref="G323:G386" si="18">_xlfn.LET(
  _xlpm.check1_score, IF(ISNUMBER(SEARCH("✅", I323)), 10, 0),
  _xlpm.check2_score, IF(ISNUMBER(SEARCH("✅", J323)), 20, 0),
  _xlpm.check3_score, IF(ISNUMBER(SEARCH("✅", K323)), 10, 0),
  _xlpm.check4_score, IF(ISNUMBER(SEARCH("50/50", L323)), 40, IF(ISNUMBER(SEARCH("/50", L323)), VALUE(MID(L323, SEARCH("- ", L323) + 2, SEARCH("/50", L323) - SEARCH("- ", L323) - 2)) * 0.8, 0)),
  _xlpm.check5_score, IF(ISNUMBER(SEARCH("✅", M323)), 10, 0),
  _xlpm.check6_score, IF(ISNUMBER(SEARCH("✅", N323)), 10, 0),
  _xlpm.total_score,_xlfn.SINGLE( _xlpm.check1_score) +_xlfn.SINGLE( _xlpm.check2_score) +_xlfn.SINGLE( _xlpm.check3_score) +_xlfn.SINGLE( _xlpm.check4_score) +_xlfn.SINGLE( _xlpm.check5_score) +_xlfn.SINGLE( _xlpm.check6_score),
  _xlpm.failed_checks, 6 - (IF(_xlfn.SINGLE(_xlpm.check1_score)&gt;0,1,0) + IF(_xlfn.SINGLE(_xlpm.check2_score)&gt;0,1,0) + IF(_xlfn.SINGLE(_xlpm.check3_score)&gt;0,1,0) + IF(_xlfn.SINGLE(_xlpm.check4_score)&gt;=20,1,0) + IF(_xlfn.SINGLE(_xlpm.check5_score)&gt;0,1,0) + IF(_xlfn.SINGLE(_xlpm.check6_score)&gt;0,1,0)),
  _xlpm.length_fail,_xlfn.SINGLE( _xlpm.check1_score) = 0,
  IF(_xlfn.SINGLE(_xlpm.total_score) = 100,
    "🎯 PERFECT MATCH: 100% - Codice Fiscale is fully valid",
    IF(_xlfn.SINGLE(_xlpm.total_score) &gt;= 90,
      "✅ EXCELLENT: " &amp;_xlfn.SINGLE( _xlpm.total_score) &amp; "% - Very likely valid, minor verification recommended",
      IF(_xlfn.SINGLE(_xlpm.total_score) &gt;= 75,
        IF(AND(_xlfn.SINGLE(_xlpm.failed_checks) = 1, _xlpm.length_fail),
          "⚠️ SCORE: " &amp;_xlfn.SINGLE( _xlpm.total_score) &amp; "% - Check any typo in Codice Fiscale length (should be 16 characters)",
          "⚠️ SCORE: " &amp;_xlfn.SINGLE( _xlpm.total_score) &amp; "% - Not a perfect match, check for any typo"
        ),
        IF(_xlfn.SINGLE(_xlpm.total_score) &gt;= 50,
          "⚠️ SCORE: " &amp;_xlfn.SINGLE( _xlpm.total_score) &amp; "% - Significant issues detected, verify all data carefully",
          "❌ FAILED: " &amp;_xlfn.SINGLE( _xlpm.total_score) &amp; "% - This person has probably not the right Codice Fiscale"
        )
      )
    )
  )
)</f>
        <v>❌ FAILED: 6.4% - This person has probably not the right Codice Fiscale</v>
      </c>
      <c r="H323" s="6"/>
      <c r="I323" s="5" t="str">
        <f t="shared" si="14"/>
        <v>❌ FAIL - Wrong length (0/16 chars)</v>
      </c>
      <c r="J323" s="5" t="e">
        <f>_xlfn.LET(
  _xlpm.cf, UPPER(E323),
  _xlpm.data, D323,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23" s="5" t="e">
        <f t="shared" ref="K323:K386" si="19">_xlfn.LET(
  _xlpm.cf, UPPER(E323),
  _xlpm.gender_input, UPPER(C323),
  _xlpm.day_cf, VALUE(MID(_xlpm.cf, 10, 2)),
  _xlpm.cf_indicates_female, _xlpm.day_cf &gt; 40,
  _xlpm.input_is_female, _xlpm.gender_input = "FEMALE",
  _xlpm.gender_match, _xlpm.cf_indicates_female = _xlpm.input_is_female,
  IF(
    _xlpm.gender_match,
    "✅ PASS - Gender: " &amp; IF(_xlpm.input_is_female, "Female", "Male") &amp; " (day: " &amp; IF(_xlpm.cf_indicates_female, _xlpm.day_cf-40, _xlpm.day_cf) &amp; ")",
    "❌ FAIL - Gender mismatch: CF indicates " &amp;
      IF(_xlpm.cf_indicates_female, "Female (+40)", "Male") &amp;
      " (day: " &amp; IF(_xlpm.cf_indicates_female, _xlpm.day_cf-40, _xlpm.day_cf) &amp; ") but person is " &amp;
      IF(_xlpm.input_is_female, "Female", "Male")
  )
)</f>
        <v>#VALUE!</v>
      </c>
      <c r="L323" s="5" t="str">
        <f t="shared" si="17"/>
        <v xml:space="preserve">❌ FAIL - 8/50 points (1/6) - Expected: XXXXX, Found: </v>
      </c>
      <c r="M323" s="5" t="s">
        <v>24</v>
      </c>
      <c r="N323" s="5" t="s">
        <v>28</v>
      </c>
    </row>
    <row r="324" spans="1:14" ht="13">
      <c r="A324" s="5"/>
      <c r="B324" s="5"/>
      <c r="C324" s="5"/>
      <c r="D324" s="5"/>
      <c r="E324" s="5"/>
      <c r="G324" s="5" t="str">
        <f t="shared" si="18"/>
        <v>❌ FAILED: 6.4% - This person has probably not the right Codice Fiscale</v>
      </c>
      <c r="H324" s="6"/>
      <c r="I324" s="5" t="str">
        <f t="shared" si="14"/>
        <v>❌ FAIL - Wrong length (0/16 chars)</v>
      </c>
      <c r="J324" s="5" t="e">
        <f>_xlfn.LET(
  _xlpm.cf, UPPER(E324),
  _xlpm.data, D324,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24" s="5" t="e">
        <f t="shared" si="19"/>
        <v>#VALUE!</v>
      </c>
      <c r="L324" s="5" t="str">
        <f t="shared" si="17"/>
        <v xml:space="preserve">❌ FAIL - 8/50 points (1/6) - Expected: XXXXX, Found: </v>
      </c>
      <c r="M324" s="5" t="s">
        <v>24</v>
      </c>
      <c r="N324" s="5" t="s">
        <v>28</v>
      </c>
    </row>
    <row r="325" spans="1:14" ht="13">
      <c r="A325" s="5"/>
      <c r="B325" s="5"/>
      <c r="C325" s="5"/>
      <c r="D325" s="5"/>
      <c r="E325" s="5"/>
      <c r="G325" s="5" t="str">
        <f t="shared" si="18"/>
        <v>❌ FAILED: 6.4% - This person has probably not the right Codice Fiscale</v>
      </c>
      <c r="H325" s="6"/>
      <c r="I325" s="5" t="str">
        <f t="shared" si="14"/>
        <v>❌ FAIL - Wrong length (0/16 chars)</v>
      </c>
      <c r="J325" s="5" t="e">
        <f>_xlfn.LET(
  _xlpm.cf, UPPER(E325),
  _xlpm.data, D325,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25" s="5" t="e">
        <f t="shared" si="19"/>
        <v>#VALUE!</v>
      </c>
      <c r="L325" s="5" t="str">
        <f t="shared" ref="L325:L388" si="20">_xlfn.LET(
  _xlpm.cf_code, LEFT(UPPER(E325), 6),
  _xlpm.surname, UPPER(B325),
  _xlpm.name_clean, SUBSTITUTE(UPPER(A325), " ", ""),
  _xlpm.s_cons, SUBSTITUTE(SUBSTITUTE(SUBSTITUTE(SUBSTITUTE(SUBSTITUTE(_xlfn.SINGLE(_xlpm.surname), "A", ""), "E", ""), "I", ""), "O", ""), "U", ""),
  _xlpm.s_vowels, SUBSTITUTE(SUBSTITUTE(SUBSTITUTE(SUBSTITUTE(SUBSTITUTE(SUBSTITUTE(SUBSTITUTE(SUBSTITUTE(SUBSTITUTE(SUBSTITUTE(SUBSTITUTE(SUBSTITUTE(SUBSTITUTE(SUBSTITUTE(SUBSTITUTE(SUBSTITUTE(SUBSTITUTE(SUBSTITUTE(SUBSTITUTE(SUBSTITUTE(SUBSTITUTE(_xlfn.SINGLE(_xlpm.surname), "B", ""), "C", ""), "D", ""), "F", ""), "G", ""), "H", ""), "J", ""), "K", ""), "L", ""), "M", ""), "N", ""), "P", ""), "Q", ""), "R", ""), "S", ""), "T", ""), "V", ""), "W", ""), "X", ""), "Y", ""), "Z", ""),
  _xlpm.n_cons, SUBSTITUTE(SUBSTITUTE(SUBSTITUTE(SUBSTITUTE(SUBSTITUTE(_xlfn.SINGLE(_xlpm.name_clean), "A", ""), "E", ""), "I", ""), "O", ""), "U", ""),
  _xlpm.n_vowels, SUBSTITUTE(SUBSTITUTE(SUBSTITUTE(SUBSTITUTE(SUBSTITUTE(SUBSTITUTE(SUBSTITUTE(SUBSTITUTE(SUBSTITUTE(SUBSTITUTE(SUBSTITUTE(SUBSTITUTE(SUBSTITUTE(SUBSTITUTE(SUBSTITUTE(SUBSTITUTE(SUBSTITUTE(SUBSTITUTE(SUBSTITUTE(SUBSTITUTE(SUBSTITUTE(_xlfn.SINGLE(_xlpm.name_clean), "B", ""), "C", ""), "D", ""), "F", ""), "G", ""), "H", ""), "J", ""), "K", ""), "L", ""), "M", ""), "N", ""), "P", ""), "Q", ""), "R", ""), "S", ""), "T", ""), "V", ""), "W", ""), "X", ""), "Y", ""), "Z", ""),
  _xlpm.surname_code, IF(LEN(_xlfn.SINGLE(_xlpm.s_cons)) &gt;= 3, LEFT(_xlfn.SINGLE(_xlpm.s_cons), 3), IF(LEN(_xlfn.SINGLE(_xlpm.s_cons)) = 2,_xlfn.SINGLE( _xlpm.s_cons) &amp; LEFT(_xlfn.SINGLE(_xlpm.s_vowels), 1), IF(LEN(_xlfn.SINGLE(_xlpm.s_cons)) = 1, LEFT(_xlfn.SINGLE(_xlpm.s_cons) &amp;_xlfn.SINGLE( _xlpm.s_vowels) &amp; "XX", 3), LEFT(_xlfn.SINGLE(_xlpm.s_vowels) &amp; "XX", 3)))),
  _xlpm.name_code, IF(LEN(_xlfn.SINGLE(_xlpm.n_cons)) &gt;= 4,
    MID(_xlfn.SINGLE(_xlpm.n_cons),1,1) &amp; MID(_xlfn.SINGLE(_xlpm.n_cons),3,1) &amp; MID(_xlfn.SINGLE(_xlpm.n_cons),4,1),
    IF(LEN(_xlfn.SINGLE(_xlpm.n_cons)) = 3,
      LEFT(_xlfn.SINGLE(_xlpm.n_cons), 3),
      LEFT(_xlfn.SINGLE(_xlpm.n_cons) &amp;_xlfn.SINGLE( _xlpm.n_vowels) &amp; "XXX", 3)
    )
  ),
  _xlpm.expected,_xlfn.SINGLE( _xlpm.surname_code) &amp;_xlfn.SINGLE( _xlpm.name_code),
  _xlpm.matches, (IF(MID(_xlfn.SINGLE(_xlpm.expected),1,1)=MID(_xlfn.SINGLE(_xlpm.cf_code),1,1),1,0))+(IF(MID(_xlfn.SINGLE(_xlpm.expected),2,1)=MID(_xlfn.SINGLE(_xlpm.cf_code),2,1),1,0))+(IF(MID(_xlfn.SINGLE(_xlpm.expected),3,1)=MID(_xlfn.SINGLE(_xlpm.cf_code),3,1),1,0))+(IF(MID(_xlfn.SINGLE(_xlpm.expected),4,1)=MID(_xlfn.SINGLE(_xlpm.cf_code),4,1),1,0))+(IF(MID(_xlfn.SINGLE(_xlpm.expected),5,1)=MID(_xlfn.SINGLE(_xlpm.cf_code),5,1),1,0))+(IF(MID(_xlfn.SINGLE(_xlpm.expected),6,1)=MID(_xlfn.SINGLE(_xlpm.cf_code),6,1),1,0)),
  IF(_xlfn.SINGLE(_xlpm.matches)=6, "✅ PASS - 50/50 points", "❌ FAIL - " &amp; ROUND(_xlfn.SINGLE(_xlpm.matches)/6*50,0) &amp; "/50 points (" &amp;_xlfn.SINGLE( _xlpm.matches) &amp; "/6) - Expected: " &amp;_xlfn.SINGLE( _xlpm.expected) &amp; ", Found: " &amp;_xlfn.SINGLE( _xlpm.cf_code))
)</f>
        <v xml:space="preserve">❌ FAIL - 8/50 points (1/6) - Expected: XXXXX, Found: </v>
      </c>
      <c r="M325" s="5" t="s">
        <v>24</v>
      </c>
      <c r="N325" s="5" t="s">
        <v>28</v>
      </c>
    </row>
    <row r="326" spans="1:14" ht="13">
      <c r="A326" s="5"/>
      <c r="B326" s="5"/>
      <c r="C326" s="5"/>
      <c r="D326" s="5"/>
      <c r="E326" s="5"/>
      <c r="G326" s="5" t="str">
        <f t="shared" si="18"/>
        <v>❌ FAILED: 6.4% - This person has probably not the right Codice Fiscale</v>
      </c>
      <c r="H326" s="6"/>
      <c r="I326" s="5" t="str">
        <f t="shared" si="14"/>
        <v>❌ FAIL - Wrong length (0/16 chars)</v>
      </c>
      <c r="J326" s="5" t="e">
        <f>_xlfn.LET(
  _xlpm.cf, UPPER(E326),
  _xlpm.data, D326,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26" s="5" t="e">
        <f t="shared" si="19"/>
        <v>#VALUE!</v>
      </c>
      <c r="L326" s="5" t="str">
        <f t="shared" si="20"/>
        <v xml:space="preserve">❌ FAIL - 8/50 points (1/6) - Expected: XXXXX, Found: </v>
      </c>
      <c r="M326" s="5" t="s">
        <v>24</v>
      </c>
      <c r="N326" s="5" t="s">
        <v>28</v>
      </c>
    </row>
    <row r="327" spans="1:14" ht="13">
      <c r="A327" s="5"/>
      <c r="B327" s="5"/>
      <c r="C327" s="5"/>
      <c r="D327" s="5"/>
      <c r="E327" s="5"/>
      <c r="G327" s="5" t="str">
        <f t="shared" si="18"/>
        <v>❌ FAILED: 6.4% - This person has probably not the right Codice Fiscale</v>
      </c>
      <c r="H327" s="6"/>
      <c r="I327" s="5" t="str">
        <f t="shared" si="14"/>
        <v>❌ FAIL - Wrong length (0/16 chars)</v>
      </c>
      <c r="J327" s="5" t="e">
        <f>_xlfn.LET(
  _xlpm.cf, UPPER(E327),
  _xlpm.data, D327,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27" s="5" t="e">
        <f t="shared" si="19"/>
        <v>#VALUE!</v>
      </c>
      <c r="L327" s="5" t="str">
        <f t="shared" si="20"/>
        <v xml:space="preserve">❌ FAIL - 8/50 points (1/6) - Expected: XXXXX, Found: </v>
      </c>
      <c r="M327" s="5" t="s">
        <v>24</v>
      </c>
      <c r="N327" s="5" t="s">
        <v>28</v>
      </c>
    </row>
    <row r="328" spans="1:14" ht="13">
      <c r="A328" s="5"/>
      <c r="B328" s="5"/>
      <c r="C328" s="5"/>
      <c r="D328" s="5"/>
      <c r="E328" s="5"/>
      <c r="G328" s="5" t="str">
        <f t="shared" si="18"/>
        <v>❌ FAILED: 6.4% - This person has probably not the right Codice Fiscale</v>
      </c>
      <c r="H328" s="6"/>
      <c r="I328" s="5" t="str">
        <f t="shared" si="14"/>
        <v>❌ FAIL - Wrong length (0/16 chars)</v>
      </c>
      <c r="J328" s="5" t="e">
        <f>_xlfn.LET(
  _xlpm.cf, UPPER(E328),
  _xlpm.data, D328,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28" s="5" t="e">
        <f t="shared" si="19"/>
        <v>#VALUE!</v>
      </c>
      <c r="L328" s="5" t="str">
        <f t="shared" si="20"/>
        <v xml:space="preserve">❌ FAIL - 8/50 points (1/6) - Expected: XXXXX, Found: </v>
      </c>
      <c r="M328" s="5" t="s">
        <v>24</v>
      </c>
      <c r="N328" s="5" t="s">
        <v>28</v>
      </c>
    </row>
    <row r="329" spans="1:14" ht="13">
      <c r="A329" s="5"/>
      <c r="B329" s="5"/>
      <c r="C329" s="5"/>
      <c r="D329" s="5"/>
      <c r="E329" s="5"/>
      <c r="G329" s="5" t="str">
        <f t="shared" si="18"/>
        <v>❌ FAILED: 6.4% - This person has probably not the right Codice Fiscale</v>
      </c>
      <c r="H329" s="6"/>
      <c r="I329" s="5" t="str">
        <f t="shared" si="14"/>
        <v>❌ FAIL - Wrong length (0/16 chars)</v>
      </c>
      <c r="J329" s="5" t="e">
        <f>_xlfn.LET(
  _xlpm.cf, UPPER(E329),
  _xlpm.data, D329,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29" s="5" t="e">
        <f t="shared" si="19"/>
        <v>#VALUE!</v>
      </c>
      <c r="L329" s="5" t="str">
        <f t="shared" si="20"/>
        <v xml:space="preserve">❌ FAIL - 8/50 points (1/6) - Expected: XXXXX, Found: </v>
      </c>
      <c r="M329" s="5" t="s">
        <v>24</v>
      </c>
      <c r="N329" s="5" t="s">
        <v>28</v>
      </c>
    </row>
    <row r="330" spans="1:14" ht="13">
      <c r="A330" s="5"/>
      <c r="B330" s="5"/>
      <c r="C330" s="5"/>
      <c r="D330" s="5"/>
      <c r="E330" s="5"/>
      <c r="G330" s="5" t="str">
        <f t="shared" si="18"/>
        <v>❌ FAILED: 6.4% - This person has probably not the right Codice Fiscale</v>
      </c>
      <c r="H330" s="6"/>
      <c r="I330" s="5" t="str">
        <f t="shared" si="14"/>
        <v>❌ FAIL - Wrong length (0/16 chars)</v>
      </c>
      <c r="J330" s="5" t="e">
        <f>_xlfn.LET(
  _xlpm.cf, UPPER(E330),
  _xlpm.data, D330,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30" s="5" t="e">
        <f t="shared" si="19"/>
        <v>#VALUE!</v>
      </c>
      <c r="L330" s="5" t="str">
        <f t="shared" si="20"/>
        <v xml:space="preserve">❌ FAIL - 8/50 points (1/6) - Expected: XXXXX, Found: </v>
      </c>
      <c r="M330" s="5" t="s">
        <v>24</v>
      </c>
      <c r="N330" s="5" t="s">
        <v>28</v>
      </c>
    </row>
    <row r="331" spans="1:14" ht="13">
      <c r="A331" s="5"/>
      <c r="B331" s="5"/>
      <c r="C331" s="5"/>
      <c r="D331" s="5"/>
      <c r="E331" s="5"/>
      <c r="G331" s="5" t="str">
        <f t="shared" si="18"/>
        <v>❌ FAILED: 6.4% - This person has probably not the right Codice Fiscale</v>
      </c>
      <c r="H331" s="6"/>
      <c r="I331" s="5" t="str">
        <f t="shared" si="14"/>
        <v>❌ FAIL - Wrong length (0/16 chars)</v>
      </c>
      <c r="J331" s="5" t="e">
        <f>_xlfn.LET(
  _xlpm.cf, UPPER(E331),
  _xlpm.data, D331,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31" s="5" t="e">
        <f t="shared" si="19"/>
        <v>#VALUE!</v>
      </c>
      <c r="L331" s="5" t="str">
        <f t="shared" si="20"/>
        <v xml:space="preserve">❌ FAIL - 8/50 points (1/6) - Expected: XXXXX, Found: </v>
      </c>
      <c r="M331" s="5" t="s">
        <v>24</v>
      </c>
      <c r="N331" s="5" t="s">
        <v>28</v>
      </c>
    </row>
    <row r="332" spans="1:14" ht="13">
      <c r="A332" s="5"/>
      <c r="B332" s="5"/>
      <c r="C332" s="5"/>
      <c r="D332" s="5"/>
      <c r="E332" s="5"/>
      <c r="G332" s="5" t="str">
        <f t="shared" si="18"/>
        <v>❌ FAILED: 6.4% - This person has probably not the right Codice Fiscale</v>
      </c>
      <c r="H332" s="6"/>
      <c r="I332" s="5" t="str">
        <f t="shared" si="14"/>
        <v>❌ FAIL - Wrong length (0/16 chars)</v>
      </c>
      <c r="J332" s="5" t="e">
        <f>_xlfn.LET(
  _xlpm.cf, UPPER(E332),
  _xlpm.data, D332,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32" s="5" t="e">
        <f t="shared" si="19"/>
        <v>#VALUE!</v>
      </c>
      <c r="L332" s="5" t="str">
        <f t="shared" si="20"/>
        <v xml:space="preserve">❌ FAIL - 8/50 points (1/6) - Expected: XXXXX, Found: </v>
      </c>
      <c r="M332" s="5" t="s">
        <v>24</v>
      </c>
      <c r="N332" s="5" t="s">
        <v>28</v>
      </c>
    </row>
    <row r="333" spans="1:14" ht="13">
      <c r="A333" s="5"/>
      <c r="B333" s="5"/>
      <c r="C333" s="5"/>
      <c r="D333" s="5"/>
      <c r="E333" s="5"/>
      <c r="G333" s="5" t="str">
        <f t="shared" si="18"/>
        <v>❌ FAILED: 6.4% - This person has probably not the right Codice Fiscale</v>
      </c>
      <c r="H333" s="6"/>
      <c r="I333" s="5" t="str">
        <f t="shared" si="14"/>
        <v>❌ FAIL - Wrong length (0/16 chars)</v>
      </c>
      <c r="J333" s="5" t="e">
        <f>_xlfn.LET(
  _xlpm.cf, UPPER(E333),
  _xlpm.data, D333,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33" s="5" t="e">
        <f t="shared" si="19"/>
        <v>#VALUE!</v>
      </c>
      <c r="L333" s="5" t="str">
        <f t="shared" si="20"/>
        <v xml:space="preserve">❌ FAIL - 8/50 points (1/6) - Expected: XXXXX, Found: </v>
      </c>
      <c r="M333" s="5" t="s">
        <v>24</v>
      </c>
      <c r="N333" s="5" t="s">
        <v>28</v>
      </c>
    </row>
    <row r="334" spans="1:14" ht="13">
      <c r="A334" s="5"/>
      <c r="B334" s="5"/>
      <c r="C334" s="5"/>
      <c r="D334" s="5"/>
      <c r="E334" s="5"/>
      <c r="G334" s="5" t="str">
        <f t="shared" si="18"/>
        <v>❌ FAILED: 6.4% - This person has probably not the right Codice Fiscale</v>
      </c>
      <c r="H334" s="6"/>
      <c r="I334" s="5" t="str">
        <f t="shared" si="14"/>
        <v>❌ FAIL - Wrong length (0/16 chars)</v>
      </c>
      <c r="J334" s="5" t="e">
        <f>_xlfn.LET(
  _xlpm.cf, UPPER(E334),
  _xlpm.data, D334,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34" s="5" t="e">
        <f t="shared" si="19"/>
        <v>#VALUE!</v>
      </c>
      <c r="L334" s="5" t="str">
        <f t="shared" si="20"/>
        <v xml:space="preserve">❌ FAIL - 8/50 points (1/6) - Expected: XXXXX, Found: </v>
      </c>
      <c r="M334" s="5" t="s">
        <v>24</v>
      </c>
      <c r="N334" s="5" t="s">
        <v>28</v>
      </c>
    </row>
    <row r="335" spans="1:14" ht="13">
      <c r="A335" s="5"/>
      <c r="B335" s="5"/>
      <c r="C335" s="5"/>
      <c r="D335" s="5"/>
      <c r="E335" s="5"/>
      <c r="G335" s="5" t="str">
        <f t="shared" si="18"/>
        <v>❌ FAILED: 6.4% - This person has probably not the right Codice Fiscale</v>
      </c>
      <c r="H335" s="6"/>
      <c r="I335" s="5" t="str">
        <f t="shared" si="14"/>
        <v>❌ FAIL - Wrong length (0/16 chars)</v>
      </c>
      <c r="J335" s="5" t="e">
        <f>_xlfn.LET(
  _xlpm.cf, UPPER(E335),
  _xlpm.data, D335,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35" s="5" t="e">
        <f t="shared" si="19"/>
        <v>#VALUE!</v>
      </c>
      <c r="L335" s="5" t="str">
        <f t="shared" si="20"/>
        <v xml:space="preserve">❌ FAIL - 8/50 points (1/6) - Expected: XXXXX, Found: </v>
      </c>
      <c r="M335" s="5" t="s">
        <v>24</v>
      </c>
      <c r="N335" s="5" t="s">
        <v>28</v>
      </c>
    </row>
    <row r="336" spans="1:14" ht="13">
      <c r="A336" s="5"/>
      <c r="B336" s="5"/>
      <c r="C336" s="5"/>
      <c r="D336" s="5"/>
      <c r="E336" s="5"/>
      <c r="G336" s="5" t="str">
        <f t="shared" si="18"/>
        <v>❌ FAILED: 6.4% - This person has probably not the right Codice Fiscale</v>
      </c>
      <c r="H336" s="6"/>
      <c r="I336" s="5" t="str">
        <f t="shared" si="14"/>
        <v>❌ FAIL - Wrong length (0/16 chars)</v>
      </c>
      <c r="J336" s="5" t="e">
        <f>_xlfn.LET(
  _xlpm.cf, UPPER(E336),
  _xlpm.data, D336,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36" s="5" t="e">
        <f t="shared" si="19"/>
        <v>#VALUE!</v>
      </c>
      <c r="L336" s="5" t="str">
        <f t="shared" si="20"/>
        <v xml:space="preserve">❌ FAIL - 8/50 points (1/6) - Expected: XXXXX, Found: </v>
      </c>
      <c r="M336" s="5" t="s">
        <v>24</v>
      </c>
      <c r="N336" s="5" t="s">
        <v>28</v>
      </c>
    </row>
    <row r="337" spans="1:14" ht="13">
      <c r="A337" s="5"/>
      <c r="B337" s="5"/>
      <c r="C337" s="5"/>
      <c r="D337" s="5"/>
      <c r="E337" s="5"/>
      <c r="G337" s="5" t="str">
        <f t="shared" si="18"/>
        <v>❌ FAILED: 6.4% - This person has probably not the right Codice Fiscale</v>
      </c>
      <c r="H337" s="6"/>
      <c r="I337" s="5" t="str">
        <f t="shared" si="14"/>
        <v>❌ FAIL - Wrong length (0/16 chars)</v>
      </c>
      <c r="J337" s="5" t="e">
        <f>_xlfn.LET(
  _xlpm.cf, UPPER(E337),
  _xlpm.data, D337,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37" s="5" t="e">
        <f t="shared" si="19"/>
        <v>#VALUE!</v>
      </c>
      <c r="L337" s="5" t="str">
        <f t="shared" si="20"/>
        <v xml:space="preserve">❌ FAIL - 8/50 points (1/6) - Expected: XXXXX, Found: </v>
      </c>
      <c r="M337" s="5" t="s">
        <v>24</v>
      </c>
      <c r="N337" s="5" t="s">
        <v>28</v>
      </c>
    </row>
    <row r="338" spans="1:14" ht="13">
      <c r="A338" s="5"/>
      <c r="B338" s="5"/>
      <c r="C338" s="5"/>
      <c r="D338" s="5"/>
      <c r="E338" s="5"/>
      <c r="G338" s="5" t="str">
        <f t="shared" si="18"/>
        <v>❌ FAILED: 6.4% - This person has probably not the right Codice Fiscale</v>
      </c>
      <c r="H338" s="6"/>
      <c r="I338" s="5" t="str">
        <f t="shared" si="14"/>
        <v>❌ FAIL - Wrong length (0/16 chars)</v>
      </c>
      <c r="J338" s="5" t="e">
        <f>_xlfn.LET(
  _xlpm.cf, UPPER(E338),
  _xlpm.data, D338,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38" s="5" t="e">
        <f t="shared" si="19"/>
        <v>#VALUE!</v>
      </c>
      <c r="L338" s="5" t="str">
        <f t="shared" si="20"/>
        <v xml:space="preserve">❌ FAIL - 8/50 points (1/6) - Expected: XXXXX, Found: </v>
      </c>
      <c r="M338" s="5" t="s">
        <v>24</v>
      </c>
      <c r="N338" s="5" t="s">
        <v>28</v>
      </c>
    </row>
    <row r="339" spans="1:14" ht="13">
      <c r="A339" s="5"/>
      <c r="B339" s="5"/>
      <c r="C339" s="5"/>
      <c r="D339" s="5"/>
      <c r="E339" s="5"/>
      <c r="G339" s="5" t="str">
        <f t="shared" si="18"/>
        <v>❌ FAILED: 6.4% - This person has probably not the right Codice Fiscale</v>
      </c>
      <c r="H339" s="6"/>
      <c r="I339" s="5" t="str">
        <f t="shared" si="14"/>
        <v>❌ FAIL - Wrong length (0/16 chars)</v>
      </c>
      <c r="J339" s="5" t="e">
        <f>_xlfn.LET(
  _xlpm.cf, UPPER(E339),
  _xlpm.data, D339,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39" s="5" t="e">
        <f t="shared" si="19"/>
        <v>#VALUE!</v>
      </c>
      <c r="L339" s="5" t="str">
        <f t="shared" si="20"/>
        <v xml:space="preserve">❌ FAIL - 8/50 points (1/6) - Expected: XXXXX, Found: </v>
      </c>
      <c r="M339" s="5" t="s">
        <v>24</v>
      </c>
      <c r="N339" s="5" t="s">
        <v>28</v>
      </c>
    </row>
    <row r="340" spans="1:14" ht="13">
      <c r="A340" s="5"/>
      <c r="B340" s="5"/>
      <c r="C340" s="5"/>
      <c r="D340" s="5"/>
      <c r="E340" s="5"/>
      <c r="G340" s="5" t="str">
        <f t="shared" si="18"/>
        <v>❌ FAILED: 6.4% - This person has probably not the right Codice Fiscale</v>
      </c>
      <c r="H340" s="6"/>
      <c r="I340" s="5" t="str">
        <f t="shared" si="14"/>
        <v>❌ FAIL - Wrong length (0/16 chars)</v>
      </c>
      <c r="J340" s="5" t="e">
        <f>_xlfn.LET(
  _xlpm.cf, UPPER(E340),
  _xlpm.data, D340,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40" s="5" t="e">
        <f t="shared" si="19"/>
        <v>#VALUE!</v>
      </c>
      <c r="L340" s="5" t="str">
        <f t="shared" si="20"/>
        <v xml:space="preserve">❌ FAIL - 8/50 points (1/6) - Expected: XXXXX, Found: </v>
      </c>
      <c r="M340" s="5" t="s">
        <v>24</v>
      </c>
      <c r="N340" s="5" t="s">
        <v>28</v>
      </c>
    </row>
    <row r="341" spans="1:14" ht="13">
      <c r="A341" s="5"/>
      <c r="B341" s="5"/>
      <c r="C341" s="5"/>
      <c r="D341" s="5"/>
      <c r="E341" s="5"/>
      <c r="G341" s="5" t="str">
        <f t="shared" si="18"/>
        <v>❌ FAILED: 6.4% - This person has probably not the right Codice Fiscale</v>
      </c>
      <c r="H341" s="6"/>
      <c r="I341" s="5" t="str">
        <f t="shared" si="14"/>
        <v>❌ FAIL - Wrong length (0/16 chars)</v>
      </c>
      <c r="J341" s="5" t="e">
        <f>_xlfn.LET(
  _xlpm.cf, UPPER(E341),
  _xlpm.data, D341,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41" s="5" t="e">
        <f t="shared" si="19"/>
        <v>#VALUE!</v>
      </c>
      <c r="L341" s="5" t="str">
        <f t="shared" si="20"/>
        <v xml:space="preserve">❌ FAIL - 8/50 points (1/6) - Expected: XXXXX, Found: </v>
      </c>
      <c r="M341" s="5" t="s">
        <v>24</v>
      </c>
      <c r="N341" s="5" t="s">
        <v>28</v>
      </c>
    </row>
    <row r="342" spans="1:14" ht="13">
      <c r="A342" s="5"/>
      <c r="B342" s="5"/>
      <c r="C342" s="5"/>
      <c r="D342" s="5"/>
      <c r="E342" s="5"/>
      <c r="G342" s="5" t="str">
        <f t="shared" si="18"/>
        <v>❌ FAILED: 6.4% - This person has probably not the right Codice Fiscale</v>
      </c>
      <c r="H342" s="6"/>
      <c r="I342" s="5" t="str">
        <f t="shared" si="14"/>
        <v>❌ FAIL - Wrong length (0/16 chars)</v>
      </c>
      <c r="J342" s="5" t="e">
        <f>_xlfn.LET(
  _xlpm.cf, UPPER(E342),
  _xlpm.data, D342,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42" s="5" t="e">
        <f t="shared" si="19"/>
        <v>#VALUE!</v>
      </c>
      <c r="L342" s="5" t="str">
        <f t="shared" si="20"/>
        <v xml:space="preserve">❌ FAIL - 8/50 points (1/6) - Expected: XXXXX, Found: </v>
      </c>
      <c r="M342" s="5" t="s">
        <v>24</v>
      </c>
      <c r="N342" s="5" t="s">
        <v>28</v>
      </c>
    </row>
    <row r="343" spans="1:14" ht="13">
      <c r="A343" s="5"/>
      <c r="B343" s="5"/>
      <c r="C343" s="5"/>
      <c r="D343" s="5"/>
      <c r="E343" s="5"/>
      <c r="G343" s="5" t="str">
        <f t="shared" si="18"/>
        <v>❌ FAILED: 6.4% - This person has probably not the right Codice Fiscale</v>
      </c>
      <c r="H343" s="6"/>
      <c r="I343" s="5" t="str">
        <f t="shared" si="14"/>
        <v>❌ FAIL - Wrong length (0/16 chars)</v>
      </c>
      <c r="J343" s="5" t="e">
        <f>_xlfn.LET(
  _xlpm.cf, UPPER(E343),
  _xlpm.data, D343,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43" s="5" t="e">
        <f t="shared" si="19"/>
        <v>#VALUE!</v>
      </c>
      <c r="L343" s="5" t="str">
        <f t="shared" si="20"/>
        <v xml:space="preserve">❌ FAIL - 8/50 points (1/6) - Expected: XXXXX, Found: </v>
      </c>
      <c r="M343" s="5" t="s">
        <v>24</v>
      </c>
      <c r="N343" s="5" t="s">
        <v>28</v>
      </c>
    </row>
    <row r="344" spans="1:14" ht="13">
      <c r="A344" s="5"/>
      <c r="B344" s="5"/>
      <c r="C344" s="5"/>
      <c r="D344" s="5"/>
      <c r="E344" s="5"/>
      <c r="G344" s="5" t="str">
        <f t="shared" si="18"/>
        <v>❌ FAILED: 6.4% - This person has probably not the right Codice Fiscale</v>
      </c>
      <c r="H344" s="6"/>
      <c r="I344" s="5" t="str">
        <f t="shared" si="14"/>
        <v>❌ FAIL - Wrong length (0/16 chars)</v>
      </c>
      <c r="J344" s="5" t="e">
        <f>_xlfn.LET(
  _xlpm.cf, UPPER(E344),
  _xlpm.data, D344,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44" s="5" t="e">
        <f t="shared" si="19"/>
        <v>#VALUE!</v>
      </c>
      <c r="L344" s="5" t="str">
        <f t="shared" si="20"/>
        <v xml:space="preserve">❌ FAIL - 8/50 points (1/6) - Expected: XXXXX, Found: </v>
      </c>
      <c r="M344" s="5" t="s">
        <v>24</v>
      </c>
      <c r="N344" s="5" t="s">
        <v>28</v>
      </c>
    </row>
    <row r="345" spans="1:14" ht="13">
      <c r="A345" s="5"/>
      <c r="B345" s="5"/>
      <c r="C345" s="5"/>
      <c r="D345" s="5"/>
      <c r="E345" s="5"/>
      <c r="G345" s="5" t="str">
        <f t="shared" si="18"/>
        <v>❌ FAILED: 6.4% - This person has probably not the right Codice Fiscale</v>
      </c>
      <c r="H345" s="6"/>
      <c r="I345" s="5" t="str">
        <f t="shared" si="14"/>
        <v>❌ FAIL - Wrong length (0/16 chars)</v>
      </c>
      <c r="J345" s="5" t="e">
        <f>_xlfn.LET(
  _xlpm.cf, UPPER(E345),
  _xlpm.data, D345,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45" s="5" t="e">
        <f t="shared" si="19"/>
        <v>#VALUE!</v>
      </c>
      <c r="L345" s="5" t="str">
        <f t="shared" si="20"/>
        <v xml:space="preserve">❌ FAIL - 8/50 points (1/6) - Expected: XXXXX, Found: </v>
      </c>
      <c r="M345" s="5" t="s">
        <v>24</v>
      </c>
      <c r="N345" s="5" t="s">
        <v>28</v>
      </c>
    </row>
    <row r="346" spans="1:14" ht="13">
      <c r="A346" s="5"/>
      <c r="B346" s="5"/>
      <c r="C346" s="5"/>
      <c r="D346" s="5"/>
      <c r="E346" s="5"/>
      <c r="G346" s="5" t="str">
        <f t="shared" si="18"/>
        <v>❌ FAILED: 6.4% - This person has probably not the right Codice Fiscale</v>
      </c>
      <c r="H346" s="6"/>
      <c r="I346" s="5" t="str">
        <f t="shared" si="14"/>
        <v>❌ FAIL - Wrong length (0/16 chars)</v>
      </c>
      <c r="J346" s="5" t="e">
        <f>_xlfn.LET(
  _xlpm.cf, UPPER(E346),
  _xlpm.data, D346,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46" s="5" t="e">
        <f t="shared" si="19"/>
        <v>#VALUE!</v>
      </c>
      <c r="L346" s="5" t="str">
        <f t="shared" si="20"/>
        <v xml:space="preserve">❌ FAIL - 8/50 points (1/6) - Expected: XXXXX, Found: </v>
      </c>
      <c r="M346" s="5" t="s">
        <v>24</v>
      </c>
      <c r="N346" s="5" t="s">
        <v>28</v>
      </c>
    </row>
    <row r="347" spans="1:14" ht="13">
      <c r="A347" s="5"/>
      <c r="B347" s="5"/>
      <c r="C347" s="5"/>
      <c r="D347" s="5"/>
      <c r="E347" s="5"/>
      <c r="G347" s="5" t="str">
        <f t="shared" si="18"/>
        <v>❌ FAILED: 6.4% - This person has probably not the right Codice Fiscale</v>
      </c>
      <c r="H347" s="6"/>
      <c r="I347" s="5" t="str">
        <f t="shared" si="14"/>
        <v>❌ FAIL - Wrong length (0/16 chars)</v>
      </c>
      <c r="J347" s="5" t="e">
        <f>_xlfn.LET(
  _xlpm.cf, UPPER(E347),
  _xlpm.data, D347,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47" s="5" t="e">
        <f t="shared" si="19"/>
        <v>#VALUE!</v>
      </c>
      <c r="L347" s="5" t="str">
        <f t="shared" si="20"/>
        <v xml:space="preserve">❌ FAIL - 8/50 points (1/6) - Expected: XXXXX, Found: </v>
      </c>
      <c r="M347" s="5" t="s">
        <v>24</v>
      </c>
      <c r="N347" s="5" t="s">
        <v>28</v>
      </c>
    </row>
    <row r="348" spans="1:14" ht="13">
      <c r="A348" s="5"/>
      <c r="B348" s="5"/>
      <c r="C348" s="5"/>
      <c r="D348" s="5"/>
      <c r="E348" s="5"/>
      <c r="G348" s="5" t="str">
        <f t="shared" si="18"/>
        <v>❌ FAILED: 6.4% - This person has probably not the right Codice Fiscale</v>
      </c>
      <c r="H348" s="6"/>
      <c r="I348" s="5" t="str">
        <f t="shared" si="14"/>
        <v>❌ FAIL - Wrong length (0/16 chars)</v>
      </c>
      <c r="J348" s="5" t="e">
        <f>_xlfn.LET(
  _xlpm.cf, UPPER(E348),
  _xlpm.data, D348,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48" s="5" t="e">
        <f t="shared" si="19"/>
        <v>#VALUE!</v>
      </c>
      <c r="L348" s="5" t="str">
        <f t="shared" si="20"/>
        <v xml:space="preserve">❌ FAIL - 8/50 points (1/6) - Expected: XXXXX, Found: </v>
      </c>
      <c r="M348" s="5" t="s">
        <v>24</v>
      </c>
      <c r="N348" s="5" t="s">
        <v>28</v>
      </c>
    </row>
    <row r="349" spans="1:14" ht="13">
      <c r="A349" s="5"/>
      <c r="B349" s="5"/>
      <c r="C349" s="5"/>
      <c r="D349" s="5"/>
      <c r="E349" s="5"/>
      <c r="G349" s="5" t="str">
        <f t="shared" si="18"/>
        <v>❌ FAILED: 6.4% - This person has probably not the right Codice Fiscale</v>
      </c>
      <c r="H349" s="6"/>
      <c r="I349" s="5" t="str">
        <f t="shared" si="14"/>
        <v>❌ FAIL - Wrong length (0/16 chars)</v>
      </c>
      <c r="J349" s="5" t="e">
        <f>_xlfn.LET(
  _xlpm.cf, UPPER(E349),
  _xlpm.data, D349,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49" s="5" t="e">
        <f t="shared" si="19"/>
        <v>#VALUE!</v>
      </c>
      <c r="L349" s="5" t="str">
        <f t="shared" si="20"/>
        <v xml:space="preserve">❌ FAIL - 8/50 points (1/6) - Expected: XXXXX, Found: </v>
      </c>
      <c r="M349" s="5" t="s">
        <v>24</v>
      </c>
      <c r="N349" s="5" t="s">
        <v>28</v>
      </c>
    </row>
    <row r="350" spans="1:14" ht="13">
      <c r="A350" s="5"/>
      <c r="B350" s="5"/>
      <c r="C350" s="5"/>
      <c r="D350" s="5"/>
      <c r="E350" s="5"/>
      <c r="G350" s="5" t="str">
        <f t="shared" si="18"/>
        <v>❌ FAILED: 6.4% - This person has probably not the right Codice Fiscale</v>
      </c>
      <c r="H350" s="6"/>
      <c r="I350" s="5" t="str">
        <f t="shared" si="14"/>
        <v>❌ FAIL - Wrong length (0/16 chars)</v>
      </c>
      <c r="J350" s="5" t="e">
        <f>_xlfn.LET(
  _xlpm.cf, UPPER(E350),
  _xlpm.data, D350,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50" s="5" t="e">
        <f t="shared" si="19"/>
        <v>#VALUE!</v>
      </c>
      <c r="L350" s="5" t="str">
        <f t="shared" si="20"/>
        <v xml:space="preserve">❌ FAIL - 8/50 points (1/6) - Expected: XXXXX, Found: </v>
      </c>
      <c r="M350" s="5" t="s">
        <v>24</v>
      </c>
      <c r="N350" s="5" t="s">
        <v>28</v>
      </c>
    </row>
    <row r="351" spans="1:14" ht="13">
      <c r="A351" s="5"/>
      <c r="B351" s="5"/>
      <c r="C351" s="5"/>
      <c r="D351" s="5"/>
      <c r="E351" s="5"/>
      <c r="G351" s="5" t="str">
        <f t="shared" si="18"/>
        <v>❌ FAILED: 6.4% - This person has probably not the right Codice Fiscale</v>
      </c>
      <c r="H351" s="6"/>
      <c r="I351" s="5" t="str">
        <f t="shared" si="14"/>
        <v>❌ FAIL - Wrong length (0/16 chars)</v>
      </c>
      <c r="J351" s="5" t="e">
        <f>_xlfn.LET(
  _xlpm.cf, UPPER(E351),
  _xlpm.data, D351,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51" s="5" t="e">
        <f t="shared" si="19"/>
        <v>#VALUE!</v>
      </c>
      <c r="L351" s="5" t="str">
        <f t="shared" si="20"/>
        <v xml:space="preserve">❌ FAIL - 8/50 points (1/6) - Expected: XXXXX, Found: </v>
      </c>
      <c r="M351" s="5" t="s">
        <v>24</v>
      </c>
      <c r="N351" s="5" t="s">
        <v>28</v>
      </c>
    </row>
    <row r="352" spans="1:14" ht="13">
      <c r="A352" s="5"/>
      <c r="B352" s="5"/>
      <c r="C352" s="5"/>
      <c r="D352" s="5"/>
      <c r="E352" s="5"/>
      <c r="G352" s="5" t="str">
        <f t="shared" si="18"/>
        <v>❌ FAILED: 6.4% - This person has probably not the right Codice Fiscale</v>
      </c>
      <c r="H352" s="6"/>
      <c r="I352" s="5" t="str">
        <f t="shared" si="14"/>
        <v>❌ FAIL - Wrong length (0/16 chars)</v>
      </c>
      <c r="J352" s="5" t="e">
        <f>_xlfn.LET(
  _xlpm.cf, UPPER(E352),
  _xlpm.data, D352,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52" s="5" t="e">
        <f t="shared" si="19"/>
        <v>#VALUE!</v>
      </c>
      <c r="L352" s="5" t="str">
        <f t="shared" si="20"/>
        <v xml:space="preserve">❌ FAIL - 8/50 points (1/6) - Expected: XXXXX, Found: </v>
      </c>
      <c r="M352" s="5" t="s">
        <v>24</v>
      </c>
      <c r="N352" s="5" t="s">
        <v>28</v>
      </c>
    </row>
    <row r="353" spans="1:14" ht="13">
      <c r="A353" s="5"/>
      <c r="B353" s="5"/>
      <c r="C353" s="5"/>
      <c r="D353" s="5"/>
      <c r="E353" s="5"/>
      <c r="G353" s="5" t="str">
        <f t="shared" si="18"/>
        <v>❌ FAILED: 6.4% - This person has probably not the right Codice Fiscale</v>
      </c>
      <c r="H353" s="6"/>
      <c r="I353" s="5" t="str">
        <f t="shared" si="14"/>
        <v>❌ FAIL - Wrong length (0/16 chars)</v>
      </c>
      <c r="J353" s="5" t="e">
        <f>_xlfn.LET(
  _xlpm.cf, UPPER(E353),
  _xlpm.data, D353,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53" s="5" t="e">
        <f t="shared" si="19"/>
        <v>#VALUE!</v>
      </c>
      <c r="L353" s="5" t="str">
        <f t="shared" si="20"/>
        <v xml:space="preserve">❌ FAIL - 8/50 points (1/6) - Expected: XXXXX, Found: </v>
      </c>
      <c r="M353" s="5" t="s">
        <v>24</v>
      </c>
      <c r="N353" s="5" t="s">
        <v>28</v>
      </c>
    </row>
    <row r="354" spans="1:14" ht="13">
      <c r="A354" s="5"/>
      <c r="B354" s="5"/>
      <c r="C354" s="5"/>
      <c r="D354" s="5"/>
      <c r="E354" s="5"/>
      <c r="G354" s="5" t="str">
        <f t="shared" si="18"/>
        <v>❌ FAILED: 6.4% - This person has probably not the right Codice Fiscale</v>
      </c>
      <c r="H354" s="6"/>
      <c r="I354" s="5" t="str">
        <f t="shared" si="14"/>
        <v>❌ FAIL - Wrong length (0/16 chars)</v>
      </c>
      <c r="J354" s="5" t="e">
        <f>_xlfn.LET(
  _xlpm.cf, UPPER(E354),
  _xlpm.data, D354,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54" s="5" t="e">
        <f t="shared" si="19"/>
        <v>#VALUE!</v>
      </c>
      <c r="L354" s="5" t="str">
        <f t="shared" si="20"/>
        <v xml:space="preserve">❌ FAIL - 8/50 points (1/6) - Expected: XXXXX, Found: </v>
      </c>
      <c r="M354" s="5" t="s">
        <v>24</v>
      </c>
      <c r="N354" s="5" t="s">
        <v>28</v>
      </c>
    </row>
    <row r="355" spans="1:14" ht="13">
      <c r="A355" s="5"/>
      <c r="B355" s="5"/>
      <c r="C355" s="5"/>
      <c r="D355" s="5"/>
      <c r="E355" s="5"/>
      <c r="G355" s="5" t="str">
        <f t="shared" si="18"/>
        <v>❌ FAILED: 6.4% - This person has probably not the right Codice Fiscale</v>
      </c>
      <c r="H355" s="6"/>
      <c r="I355" s="5" t="str">
        <f t="shared" si="14"/>
        <v>❌ FAIL - Wrong length (0/16 chars)</v>
      </c>
      <c r="J355" s="5" t="e">
        <f>_xlfn.LET(
  _xlpm.cf, UPPER(E355),
  _xlpm.data, D355,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55" s="5" t="e">
        <f t="shared" si="19"/>
        <v>#VALUE!</v>
      </c>
      <c r="L355" s="5" t="str">
        <f t="shared" si="20"/>
        <v xml:space="preserve">❌ FAIL - 8/50 points (1/6) - Expected: XXXXX, Found: </v>
      </c>
      <c r="M355" s="5" t="s">
        <v>24</v>
      </c>
      <c r="N355" s="5" t="s">
        <v>28</v>
      </c>
    </row>
    <row r="356" spans="1:14" ht="13">
      <c r="A356" s="5"/>
      <c r="B356" s="5"/>
      <c r="C356" s="5"/>
      <c r="D356" s="5"/>
      <c r="E356" s="5"/>
      <c r="G356" s="5" t="str">
        <f t="shared" si="18"/>
        <v>❌ FAILED: 6.4% - This person has probably not the right Codice Fiscale</v>
      </c>
      <c r="H356" s="6"/>
      <c r="I356" s="5" t="str">
        <f t="shared" si="14"/>
        <v>❌ FAIL - Wrong length (0/16 chars)</v>
      </c>
      <c r="J356" s="5" t="e">
        <f>_xlfn.LET(
  _xlpm.cf, UPPER(E356),
  _xlpm.data, D356,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56" s="5" t="e">
        <f t="shared" si="19"/>
        <v>#VALUE!</v>
      </c>
      <c r="L356" s="5" t="str">
        <f t="shared" si="20"/>
        <v xml:space="preserve">❌ FAIL - 8/50 points (1/6) - Expected: XXXXX, Found: </v>
      </c>
      <c r="M356" s="5" t="s">
        <v>24</v>
      </c>
      <c r="N356" s="5" t="s">
        <v>28</v>
      </c>
    </row>
    <row r="357" spans="1:14" ht="13">
      <c r="A357" s="5"/>
      <c r="B357" s="5"/>
      <c r="C357" s="5"/>
      <c r="D357" s="5"/>
      <c r="E357" s="5"/>
      <c r="G357" s="5" t="str">
        <f t="shared" si="18"/>
        <v>❌ FAILED: 6.4% - This person has probably not the right Codice Fiscale</v>
      </c>
      <c r="H357" s="6"/>
      <c r="I357" s="5" t="str">
        <f t="shared" si="14"/>
        <v>❌ FAIL - Wrong length (0/16 chars)</v>
      </c>
      <c r="J357" s="5" t="e">
        <f>_xlfn.LET(
  _xlpm.cf, UPPER(E357),
  _xlpm.data, D357,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57" s="5" t="e">
        <f t="shared" si="19"/>
        <v>#VALUE!</v>
      </c>
      <c r="L357" s="5" t="str">
        <f t="shared" si="20"/>
        <v xml:space="preserve">❌ FAIL - 8/50 points (1/6) - Expected: XXXXX, Found: </v>
      </c>
      <c r="M357" s="5" t="s">
        <v>24</v>
      </c>
      <c r="N357" s="5" t="s">
        <v>28</v>
      </c>
    </row>
    <row r="358" spans="1:14" ht="13">
      <c r="A358" s="5"/>
      <c r="B358" s="5"/>
      <c r="C358" s="5"/>
      <c r="D358" s="5"/>
      <c r="E358" s="5"/>
      <c r="G358" s="5" t="str">
        <f t="shared" si="18"/>
        <v>❌ FAILED: 6.4% - This person has probably not the right Codice Fiscale</v>
      </c>
      <c r="H358" s="6"/>
      <c r="I358" s="5" t="str">
        <f t="shared" si="14"/>
        <v>❌ FAIL - Wrong length (0/16 chars)</v>
      </c>
      <c r="J358" s="5" t="e">
        <f>_xlfn.LET(
  _xlpm.cf, UPPER(E358),
  _xlpm.data, D358,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58" s="5" t="e">
        <f t="shared" si="19"/>
        <v>#VALUE!</v>
      </c>
      <c r="L358" s="5" t="str">
        <f t="shared" si="20"/>
        <v xml:space="preserve">❌ FAIL - 8/50 points (1/6) - Expected: XXXXX, Found: </v>
      </c>
      <c r="M358" s="5" t="s">
        <v>24</v>
      </c>
      <c r="N358" s="5" t="s">
        <v>28</v>
      </c>
    </row>
    <row r="359" spans="1:14" ht="13">
      <c r="A359" s="5"/>
      <c r="B359" s="5"/>
      <c r="C359" s="5"/>
      <c r="D359" s="5"/>
      <c r="E359" s="5"/>
      <c r="G359" s="5" t="str">
        <f t="shared" si="18"/>
        <v>❌ FAILED: 6.4% - This person has probably not the right Codice Fiscale</v>
      </c>
      <c r="H359" s="6"/>
      <c r="I359" s="5" t="str">
        <f t="shared" si="14"/>
        <v>❌ FAIL - Wrong length (0/16 chars)</v>
      </c>
      <c r="J359" s="5" t="e">
        <f>_xlfn.LET(
  _xlpm.cf, UPPER(E359),
  _xlpm.data, D359,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59" s="5" t="e">
        <f t="shared" si="19"/>
        <v>#VALUE!</v>
      </c>
      <c r="L359" s="5" t="str">
        <f t="shared" si="20"/>
        <v xml:space="preserve">❌ FAIL - 8/50 points (1/6) - Expected: XXXXX, Found: </v>
      </c>
      <c r="M359" s="5" t="s">
        <v>24</v>
      </c>
      <c r="N359" s="5" t="s">
        <v>28</v>
      </c>
    </row>
    <row r="360" spans="1:14" ht="13">
      <c r="A360" s="5"/>
      <c r="B360" s="5"/>
      <c r="C360" s="5"/>
      <c r="D360" s="5"/>
      <c r="E360" s="5"/>
      <c r="G360" s="5" t="str">
        <f t="shared" si="18"/>
        <v>❌ FAILED: 6.4% - This person has probably not the right Codice Fiscale</v>
      </c>
      <c r="H360" s="6"/>
      <c r="I360" s="5" t="str">
        <f t="shared" si="14"/>
        <v>❌ FAIL - Wrong length (0/16 chars)</v>
      </c>
      <c r="J360" s="5" t="e">
        <f>_xlfn.LET(
  _xlpm.cf, UPPER(E360),
  _xlpm.data, D360,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60" s="5" t="e">
        <f t="shared" si="19"/>
        <v>#VALUE!</v>
      </c>
      <c r="L360" s="5" t="str">
        <f t="shared" si="20"/>
        <v xml:space="preserve">❌ FAIL - 8/50 points (1/6) - Expected: XXXXX, Found: </v>
      </c>
      <c r="M360" s="5" t="s">
        <v>24</v>
      </c>
      <c r="N360" s="5" t="s">
        <v>28</v>
      </c>
    </row>
    <row r="361" spans="1:14" ht="13">
      <c r="A361" s="5"/>
      <c r="B361" s="5"/>
      <c r="C361" s="5"/>
      <c r="D361" s="5"/>
      <c r="E361" s="5"/>
      <c r="G361" s="5" t="str">
        <f t="shared" si="18"/>
        <v>❌ FAILED: 6.4% - This person has probably not the right Codice Fiscale</v>
      </c>
      <c r="H361" s="6"/>
      <c r="I361" s="5" t="str">
        <f t="shared" si="14"/>
        <v>❌ FAIL - Wrong length (0/16 chars)</v>
      </c>
      <c r="J361" s="5" t="e">
        <f>_xlfn.LET(
  _xlpm.cf, UPPER(E361),
  _xlpm.data, D361,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61" s="5" t="e">
        <f t="shared" si="19"/>
        <v>#VALUE!</v>
      </c>
      <c r="L361" s="5" t="str">
        <f t="shared" si="20"/>
        <v xml:space="preserve">❌ FAIL - 8/50 points (1/6) - Expected: XXXXX, Found: </v>
      </c>
      <c r="M361" s="5" t="s">
        <v>24</v>
      </c>
      <c r="N361" s="5" t="s">
        <v>28</v>
      </c>
    </row>
    <row r="362" spans="1:14" ht="13">
      <c r="A362" s="5"/>
      <c r="B362" s="5"/>
      <c r="C362" s="5"/>
      <c r="D362" s="5"/>
      <c r="E362" s="5"/>
      <c r="G362" s="5" t="str">
        <f t="shared" si="18"/>
        <v>❌ FAILED: 6.4% - This person has probably not the right Codice Fiscale</v>
      </c>
      <c r="H362" s="6"/>
      <c r="I362" s="5" t="str">
        <f t="shared" si="14"/>
        <v>❌ FAIL - Wrong length (0/16 chars)</v>
      </c>
      <c r="J362" s="5" t="e">
        <f>_xlfn.LET(
  _xlpm.cf, UPPER(E362),
  _xlpm.data, D362,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62" s="5" t="e">
        <f t="shared" si="19"/>
        <v>#VALUE!</v>
      </c>
      <c r="L362" s="5" t="str">
        <f t="shared" si="20"/>
        <v xml:space="preserve">❌ FAIL - 8/50 points (1/6) - Expected: XXXXX, Found: </v>
      </c>
      <c r="M362" s="5" t="s">
        <v>24</v>
      </c>
      <c r="N362" s="5" t="s">
        <v>28</v>
      </c>
    </row>
    <row r="363" spans="1:14" ht="13">
      <c r="A363" s="5"/>
      <c r="B363" s="5"/>
      <c r="C363" s="5"/>
      <c r="D363" s="5"/>
      <c r="E363" s="5"/>
      <c r="G363" s="5" t="str">
        <f t="shared" si="18"/>
        <v>❌ FAILED: 6.4% - This person has probably not the right Codice Fiscale</v>
      </c>
      <c r="H363" s="6"/>
      <c r="I363" s="5" t="str">
        <f t="shared" si="14"/>
        <v>❌ FAIL - Wrong length (0/16 chars)</v>
      </c>
      <c r="J363" s="5" t="e">
        <f>_xlfn.LET(
  _xlpm.cf, UPPER(E363),
  _xlpm.data, D363,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63" s="5" t="e">
        <f t="shared" si="19"/>
        <v>#VALUE!</v>
      </c>
      <c r="L363" s="5" t="str">
        <f t="shared" si="20"/>
        <v xml:space="preserve">❌ FAIL - 8/50 points (1/6) - Expected: XXXXX, Found: </v>
      </c>
      <c r="M363" s="5" t="s">
        <v>24</v>
      </c>
      <c r="N363" s="5" t="s">
        <v>28</v>
      </c>
    </row>
    <row r="364" spans="1:14" ht="13">
      <c r="A364" s="5"/>
      <c r="B364" s="5"/>
      <c r="C364" s="5"/>
      <c r="D364" s="5"/>
      <c r="E364" s="5"/>
      <c r="G364" s="5" t="str">
        <f t="shared" si="18"/>
        <v>❌ FAILED: 6.4% - This person has probably not the right Codice Fiscale</v>
      </c>
      <c r="H364" s="6"/>
      <c r="I364" s="5" t="str">
        <f t="shared" si="14"/>
        <v>❌ FAIL - Wrong length (0/16 chars)</v>
      </c>
      <c r="J364" s="5" t="e">
        <f>_xlfn.LET(
  _xlpm.cf, UPPER(E364),
  _xlpm.data, D364,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64" s="5" t="e">
        <f t="shared" si="19"/>
        <v>#VALUE!</v>
      </c>
      <c r="L364" s="5" t="str">
        <f t="shared" si="20"/>
        <v xml:space="preserve">❌ FAIL - 8/50 points (1/6) - Expected: XXXXX, Found: </v>
      </c>
      <c r="M364" s="5" t="s">
        <v>24</v>
      </c>
      <c r="N364" s="5" t="s">
        <v>28</v>
      </c>
    </row>
    <row r="365" spans="1:14" ht="13">
      <c r="A365" s="5"/>
      <c r="B365" s="5"/>
      <c r="C365" s="5"/>
      <c r="D365" s="5"/>
      <c r="E365" s="5"/>
      <c r="G365" s="5" t="str">
        <f t="shared" si="18"/>
        <v>❌ FAILED: 6.4% - This person has probably not the right Codice Fiscale</v>
      </c>
      <c r="H365" s="6"/>
      <c r="I365" s="5" t="str">
        <f t="shared" si="14"/>
        <v>❌ FAIL - Wrong length (0/16 chars)</v>
      </c>
      <c r="J365" s="5" t="e">
        <f>_xlfn.LET(
  _xlpm.cf, UPPER(E365),
  _xlpm.data, D365,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65" s="5" t="e">
        <f t="shared" si="19"/>
        <v>#VALUE!</v>
      </c>
      <c r="L365" s="5" t="str">
        <f t="shared" si="20"/>
        <v xml:space="preserve">❌ FAIL - 8/50 points (1/6) - Expected: XXXXX, Found: </v>
      </c>
      <c r="M365" s="5" t="s">
        <v>24</v>
      </c>
      <c r="N365" s="5" t="s">
        <v>28</v>
      </c>
    </row>
    <row r="366" spans="1:14" ht="13">
      <c r="A366" s="5"/>
      <c r="B366" s="5"/>
      <c r="C366" s="5"/>
      <c r="D366" s="5"/>
      <c r="E366" s="5"/>
      <c r="G366" s="5" t="str">
        <f t="shared" si="18"/>
        <v>❌ FAILED: 6.4% - This person has probably not the right Codice Fiscale</v>
      </c>
      <c r="H366" s="6"/>
      <c r="I366" s="5" t="str">
        <f t="shared" si="14"/>
        <v>❌ FAIL - Wrong length (0/16 chars)</v>
      </c>
      <c r="J366" s="5" t="e">
        <f>_xlfn.LET(
  _xlpm.cf, UPPER(E366),
  _xlpm.data, D366,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66" s="5" t="e">
        <f t="shared" si="19"/>
        <v>#VALUE!</v>
      </c>
      <c r="L366" s="5" t="str">
        <f t="shared" si="20"/>
        <v xml:space="preserve">❌ FAIL - 8/50 points (1/6) - Expected: XXXXX, Found: </v>
      </c>
      <c r="M366" s="5" t="s">
        <v>24</v>
      </c>
      <c r="N366" s="5" t="s">
        <v>28</v>
      </c>
    </row>
    <row r="367" spans="1:14" ht="13">
      <c r="A367" s="5"/>
      <c r="B367" s="5"/>
      <c r="C367" s="5"/>
      <c r="D367" s="5"/>
      <c r="E367" s="5"/>
      <c r="G367" s="5" t="str">
        <f t="shared" si="18"/>
        <v>❌ FAILED: 6.4% - This person has probably not the right Codice Fiscale</v>
      </c>
      <c r="H367" s="6"/>
      <c r="I367" s="5" t="str">
        <f t="shared" si="14"/>
        <v>❌ FAIL - Wrong length (0/16 chars)</v>
      </c>
      <c r="J367" s="5" t="e">
        <f>_xlfn.LET(
  _xlpm.cf, UPPER(E367),
  _xlpm.data, D367,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67" s="5" t="e">
        <f t="shared" si="19"/>
        <v>#VALUE!</v>
      </c>
      <c r="L367" s="5" t="str">
        <f t="shared" si="20"/>
        <v xml:space="preserve">❌ FAIL - 8/50 points (1/6) - Expected: XXXXX, Found: </v>
      </c>
      <c r="M367" s="5" t="s">
        <v>24</v>
      </c>
      <c r="N367" s="5" t="s">
        <v>28</v>
      </c>
    </row>
    <row r="368" spans="1:14" ht="13">
      <c r="A368" s="5"/>
      <c r="B368" s="5"/>
      <c r="C368" s="5"/>
      <c r="D368" s="5"/>
      <c r="E368" s="5"/>
      <c r="G368" s="5" t="str">
        <f t="shared" si="18"/>
        <v>❌ FAILED: 6.4% - This person has probably not the right Codice Fiscale</v>
      </c>
      <c r="H368" s="6"/>
      <c r="I368" s="5" t="str">
        <f t="shared" si="14"/>
        <v>❌ FAIL - Wrong length (0/16 chars)</v>
      </c>
      <c r="J368" s="5" t="e">
        <f>_xlfn.LET(
  _xlpm.cf, UPPER(E368),
  _xlpm.data, D368,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68" s="5" t="e">
        <f t="shared" si="19"/>
        <v>#VALUE!</v>
      </c>
      <c r="L368" s="5" t="str">
        <f t="shared" si="20"/>
        <v xml:space="preserve">❌ FAIL - 8/50 points (1/6) - Expected: XXXXX, Found: </v>
      </c>
      <c r="M368" s="5" t="s">
        <v>24</v>
      </c>
      <c r="N368" s="5" t="s">
        <v>28</v>
      </c>
    </row>
    <row r="369" spans="1:14" ht="13">
      <c r="A369" s="5"/>
      <c r="B369" s="5"/>
      <c r="C369" s="5"/>
      <c r="D369" s="5"/>
      <c r="E369" s="5"/>
      <c r="G369" s="5" t="str">
        <f t="shared" si="18"/>
        <v>❌ FAILED: 6.4% - This person has probably not the right Codice Fiscale</v>
      </c>
      <c r="H369" s="6"/>
      <c r="I369" s="5" t="str">
        <f t="shared" si="14"/>
        <v>❌ FAIL - Wrong length (0/16 chars)</v>
      </c>
      <c r="J369" s="5" t="e">
        <f>_xlfn.LET(
  _xlpm.cf, UPPER(E369),
  _xlpm.data, D369,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69" s="5" t="e">
        <f t="shared" si="19"/>
        <v>#VALUE!</v>
      </c>
      <c r="L369" s="5" t="str">
        <f t="shared" si="20"/>
        <v xml:space="preserve">❌ FAIL - 8/50 points (1/6) - Expected: XXXXX, Found: </v>
      </c>
      <c r="M369" s="5" t="s">
        <v>24</v>
      </c>
      <c r="N369" s="5" t="s">
        <v>28</v>
      </c>
    </row>
    <row r="370" spans="1:14" ht="13">
      <c r="A370" s="5"/>
      <c r="B370" s="5"/>
      <c r="C370" s="5"/>
      <c r="D370" s="5"/>
      <c r="E370" s="5"/>
      <c r="G370" s="5" t="str">
        <f t="shared" si="18"/>
        <v>❌ FAILED: 6.4% - This person has probably not the right Codice Fiscale</v>
      </c>
      <c r="H370" s="6"/>
      <c r="I370" s="5" t="str">
        <f t="shared" si="14"/>
        <v>❌ FAIL - Wrong length (0/16 chars)</v>
      </c>
      <c r="J370" s="5" t="e">
        <f>_xlfn.LET(
  _xlpm.cf, UPPER(E370),
  _xlpm.data, D370,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70" s="5" t="e">
        <f t="shared" si="19"/>
        <v>#VALUE!</v>
      </c>
      <c r="L370" s="5" t="str">
        <f t="shared" si="20"/>
        <v xml:space="preserve">❌ FAIL - 8/50 points (1/6) - Expected: XXXXX, Found: </v>
      </c>
      <c r="M370" s="5" t="s">
        <v>24</v>
      </c>
      <c r="N370" s="5" t="s">
        <v>28</v>
      </c>
    </row>
    <row r="371" spans="1:14" ht="13">
      <c r="A371" s="5"/>
      <c r="B371" s="5"/>
      <c r="C371" s="5"/>
      <c r="D371" s="5"/>
      <c r="E371" s="5"/>
      <c r="G371" s="5" t="str">
        <f t="shared" si="18"/>
        <v>❌ FAILED: 6.4% - This person has probably not the right Codice Fiscale</v>
      </c>
      <c r="H371" s="6"/>
      <c r="I371" s="5" t="str">
        <f t="shared" si="14"/>
        <v>❌ FAIL - Wrong length (0/16 chars)</v>
      </c>
      <c r="J371" s="5" t="e">
        <f>_xlfn.LET(
  _xlpm.cf, UPPER(E371),
  _xlpm.data, D371,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71" s="5" t="e">
        <f t="shared" si="19"/>
        <v>#VALUE!</v>
      </c>
      <c r="L371" s="5" t="str">
        <f t="shared" si="20"/>
        <v xml:space="preserve">❌ FAIL - 8/50 points (1/6) - Expected: XXXXX, Found: </v>
      </c>
      <c r="M371" s="5" t="s">
        <v>24</v>
      </c>
      <c r="N371" s="5" t="s">
        <v>28</v>
      </c>
    </row>
    <row r="372" spans="1:14" ht="13">
      <c r="A372" s="5"/>
      <c r="B372" s="5"/>
      <c r="C372" s="5"/>
      <c r="D372" s="5"/>
      <c r="E372" s="5"/>
      <c r="G372" s="5" t="str">
        <f t="shared" si="18"/>
        <v>❌ FAILED: 6.4% - This person has probably not the right Codice Fiscale</v>
      </c>
      <c r="H372" s="6"/>
      <c r="I372" s="5" t="str">
        <f t="shared" si="14"/>
        <v>❌ FAIL - Wrong length (0/16 chars)</v>
      </c>
      <c r="J372" s="5" t="e">
        <f>_xlfn.LET(
  _xlpm.cf, UPPER(E372),
  _xlpm.data, D372,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72" s="5" t="e">
        <f t="shared" si="19"/>
        <v>#VALUE!</v>
      </c>
      <c r="L372" s="5" t="str">
        <f t="shared" si="20"/>
        <v xml:space="preserve">❌ FAIL - 8/50 points (1/6) - Expected: XXXXX, Found: </v>
      </c>
      <c r="M372" s="5" t="s">
        <v>24</v>
      </c>
      <c r="N372" s="5" t="s">
        <v>28</v>
      </c>
    </row>
    <row r="373" spans="1:14" ht="13">
      <c r="A373" s="5"/>
      <c r="B373" s="5"/>
      <c r="C373" s="5"/>
      <c r="D373" s="5"/>
      <c r="E373" s="5"/>
      <c r="G373" s="5" t="str">
        <f t="shared" si="18"/>
        <v>❌ FAILED: 6.4% - This person has probably not the right Codice Fiscale</v>
      </c>
      <c r="H373" s="6"/>
      <c r="I373" s="5" t="str">
        <f t="shared" si="14"/>
        <v>❌ FAIL - Wrong length (0/16 chars)</v>
      </c>
      <c r="J373" s="5" t="e">
        <f>_xlfn.LET(
  _xlpm.cf, UPPER(E373),
  _xlpm.data, D373,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73" s="5" t="e">
        <f t="shared" si="19"/>
        <v>#VALUE!</v>
      </c>
      <c r="L373" s="5" t="str">
        <f t="shared" si="20"/>
        <v xml:space="preserve">❌ FAIL - 8/50 points (1/6) - Expected: XXXXX, Found: </v>
      </c>
      <c r="M373" s="5" t="s">
        <v>24</v>
      </c>
      <c r="N373" s="5" t="s">
        <v>28</v>
      </c>
    </row>
    <row r="374" spans="1:14" ht="13">
      <c r="A374" s="5"/>
      <c r="B374" s="5"/>
      <c r="C374" s="5"/>
      <c r="D374" s="5"/>
      <c r="E374" s="5"/>
      <c r="G374" s="5" t="str">
        <f t="shared" si="18"/>
        <v>❌ FAILED: 6.4% - This person has probably not the right Codice Fiscale</v>
      </c>
      <c r="H374" s="6"/>
      <c r="I374" s="5" t="str">
        <f t="shared" si="14"/>
        <v>❌ FAIL - Wrong length (0/16 chars)</v>
      </c>
      <c r="J374" s="5" t="e">
        <f>_xlfn.LET(
  _xlpm.cf, UPPER(E374),
  _xlpm.data, D374,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74" s="5" t="e">
        <f t="shared" si="19"/>
        <v>#VALUE!</v>
      </c>
      <c r="L374" s="5" t="str">
        <f t="shared" si="20"/>
        <v xml:space="preserve">❌ FAIL - 8/50 points (1/6) - Expected: XXXXX, Found: </v>
      </c>
      <c r="M374" s="5" t="s">
        <v>24</v>
      </c>
      <c r="N374" s="5" t="s">
        <v>28</v>
      </c>
    </row>
    <row r="375" spans="1:14" ht="13">
      <c r="A375" s="5"/>
      <c r="B375" s="5"/>
      <c r="C375" s="5"/>
      <c r="D375" s="5"/>
      <c r="E375" s="5"/>
      <c r="G375" s="5" t="str">
        <f t="shared" si="18"/>
        <v>❌ FAILED: 6.4% - This person has probably not the right Codice Fiscale</v>
      </c>
      <c r="H375" s="6"/>
      <c r="I375" s="5" t="str">
        <f t="shared" si="14"/>
        <v>❌ FAIL - Wrong length (0/16 chars)</v>
      </c>
      <c r="J375" s="5" t="e">
        <f>_xlfn.LET(
  _xlpm.cf, UPPER(E375),
  _xlpm.data, D375,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75" s="5" t="e">
        <f t="shared" si="19"/>
        <v>#VALUE!</v>
      </c>
      <c r="L375" s="5" t="str">
        <f t="shared" si="20"/>
        <v xml:space="preserve">❌ FAIL - 8/50 points (1/6) - Expected: XXXXX, Found: </v>
      </c>
      <c r="M375" s="5" t="s">
        <v>24</v>
      </c>
      <c r="N375" s="5" t="s">
        <v>28</v>
      </c>
    </row>
    <row r="376" spans="1:14" ht="13">
      <c r="A376" s="5"/>
      <c r="B376" s="5"/>
      <c r="C376" s="5"/>
      <c r="D376" s="5"/>
      <c r="E376" s="5"/>
      <c r="G376" s="5" t="str">
        <f t="shared" si="18"/>
        <v>❌ FAILED: 6.4% - This person has probably not the right Codice Fiscale</v>
      </c>
      <c r="H376" s="6"/>
      <c r="I376" s="5" t="str">
        <f t="shared" si="14"/>
        <v>❌ FAIL - Wrong length (0/16 chars)</v>
      </c>
      <c r="J376" s="5" t="e">
        <f>_xlfn.LET(
  _xlpm.cf, UPPER(E376),
  _xlpm.data, D376,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76" s="5" t="e">
        <f t="shared" si="19"/>
        <v>#VALUE!</v>
      </c>
      <c r="L376" s="5" t="str">
        <f t="shared" si="20"/>
        <v xml:space="preserve">❌ FAIL - 8/50 points (1/6) - Expected: XXXXX, Found: </v>
      </c>
      <c r="M376" s="5" t="s">
        <v>24</v>
      </c>
      <c r="N376" s="5" t="s">
        <v>28</v>
      </c>
    </row>
    <row r="377" spans="1:14" ht="13">
      <c r="A377" s="5"/>
      <c r="B377" s="5"/>
      <c r="C377" s="5"/>
      <c r="D377" s="5"/>
      <c r="E377" s="5"/>
      <c r="G377" s="5" t="str">
        <f t="shared" si="18"/>
        <v>❌ FAILED: 6.4% - This person has probably not the right Codice Fiscale</v>
      </c>
      <c r="H377" s="6"/>
      <c r="I377" s="5" t="str">
        <f t="shared" si="14"/>
        <v>❌ FAIL - Wrong length (0/16 chars)</v>
      </c>
      <c r="J377" s="5" t="e">
        <f>_xlfn.LET(
  _xlpm.cf, UPPER(E377),
  _xlpm.data, D377,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77" s="5" t="e">
        <f t="shared" si="19"/>
        <v>#VALUE!</v>
      </c>
      <c r="L377" s="5" t="str">
        <f t="shared" si="20"/>
        <v xml:space="preserve">❌ FAIL - 8/50 points (1/6) - Expected: XXXXX, Found: </v>
      </c>
      <c r="M377" s="5" t="s">
        <v>24</v>
      </c>
      <c r="N377" s="5" t="s">
        <v>28</v>
      </c>
    </row>
    <row r="378" spans="1:14" ht="13">
      <c r="A378" s="5"/>
      <c r="B378" s="5"/>
      <c r="C378" s="5"/>
      <c r="D378" s="5"/>
      <c r="E378" s="5"/>
      <c r="G378" s="5" t="str">
        <f t="shared" si="18"/>
        <v>❌ FAILED: 6.4% - This person has probably not the right Codice Fiscale</v>
      </c>
      <c r="H378" s="6"/>
      <c r="I378" s="5" t="str">
        <f t="shared" si="14"/>
        <v>❌ FAIL - Wrong length (0/16 chars)</v>
      </c>
      <c r="J378" s="5" t="e">
        <f>_xlfn.LET(
  _xlpm.cf, UPPER(E378),
  _xlpm.data, D378,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78" s="5" t="e">
        <f t="shared" si="19"/>
        <v>#VALUE!</v>
      </c>
      <c r="L378" s="5" t="str">
        <f t="shared" si="20"/>
        <v xml:space="preserve">❌ FAIL - 8/50 points (1/6) - Expected: XXXXX, Found: </v>
      </c>
      <c r="M378" s="5" t="s">
        <v>24</v>
      </c>
      <c r="N378" s="5" t="s">
        <v>28</v>
      </c>
    </row>
    <row r="379" spans="1:14" ht="13">
      <c r="A379" s="5"/>
      <c r="B379" s="5"/>
      <c r="C379" s="5"/>
      <c r="D379" s="5"/>
      <c r="E379" s="5"/>
      <c r="G379" s="5" t="str">
        <f t="shared" si="18"/>
        <v>❌ FAILED: 6.4% - This person has probably not the right Codice Fiscale</v>
      </c>
      <c r="H379" s="6"/>
      <c r="I379" s="5" t="str">
        <f t="shared" si="14"/>
        <v>❌ FAIL - Wrong length (0/16 chars)</v>
      </c>
      <c r="J379" s="5" t="e">
        <f>_xlfn.LET(
  _xlpm.cf, UPPER(E379),
  _xlpm.data, D379,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79" s="5" t="e">
        <f t="shared" si="19"/>
        <v>#VALUE!</v>
      </c>
      <c r="L379" s="5" t="str">
        <f t="shared" si="20"/>
        <v xml:space="preserve">❌ FAIL - 8/50 points (1/6) - Expected: XXXXX, Found: </v>
      </c>
      <c r="M379" s="5" t="s">
        <v>24</v>
      </c>
      <c r="N379" s="5" t="s">
        <v>28</v>
      </c>
    </row>
    <row r="380" spans="1:14" ht="13">
      <c r="A380" s="5"/>
      <c r="B380" s="5"/>
      <c r="C380" s="5"/>
      <c r="D380" s="5"/>
      <c r="E380" s="5"/>
      <c r="G380" s="5" t="str">
        <f t="shared" si="18"/>
        <v>❌ FAILED: 6.4% - This person has probably not the right Codice Fiscale</v>
      </c>
      <c r="H380" s="6"/>
      <c r="I380" s="5" t="str">
        <f t="shared" si="14"/>
        <v>❌ FAIL - Wrong length (0/16 chars)</v>
      </c>
      <c r="J380" s="5" t="e">
        <f>_xlfn.LET(
  _xlpm.cf, UPPER(E380),
  _xlpm.data, D380,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80" s="5" t="e">
        <f t="shared" si="19"/>
        <v>#VALUE!</v>
      </c>
      <c r="L380" s="5" t="str">
        <f t="shared" si="20"/>
        <v xml:space="preserve">❌ FAIL - 8/50 points (1/6) - Expected: XXXXX, Found: </v>
      </c>
      <c r="M380" s="5" t="s">
        <v>24</v>
      </c>
      <c r="N380" s="5" t="s">
        <v>28</v>
      </c>
    </row>
    <row r="381" spans="1:14" ht="13">
      <c r="A381" s="5"/>
      <c r="B381" s="5"/>
      <c r="C381" s="5"/>
      <c r="D381" s="5"/>
      <c r="E381" s="5"/>
      <c r="G381" s="5" t="str">
        <f t="shared" si="18"/>
        <v>❌ FAILED: 6.4% - This person has probably not the right Codice Fiscale</v>
      </c>
      <c r="H381" s="6"/>
      <c r="I381" s="5" t="str">
        <f t="shared" si="14"/>
        <v>❌ FAIL - Wrong length (0/16 chars)</v>
      </c>
      <c r="J381" s="5" t="e">
        <f>_xlfn.LET(
  _xlpm.cf, UPPER(E381),
  _xlpm.data, D381,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81" s="5" t="e">
        <f t="shared" si="19"/>
        <v>#VALUE!</v>
      </c>
      <c r="L381" s="5" t="str">
        <f t="shared" si="20"/>
        <v xml:space="preserve">❌ FAIL - 8/50 points (1/6) - Expected: XXXXX, Found: </v>
      </c>
      <c r="M381" s="5" t="s">
        <v>24</v>
      </c>
      <c r="N381" s="5" t="s">
        <v>28</v>
      </c>
    </row>
    <row r="382" spans="1:14" ht="13">
      <c r="A382" s="5"/>
      <c r="B382" s="5"/>
      <c r="C382" s="5"/>
      <c r="D382" s="5"/>
      <c r="E382" s="5"/>
      <c r="G382" s="5" t="str">
        <f t="shared" si="18"/>
        <v>❌ FAILED: 6.4% - This person has probably not the right Codice Fiscale</v>
      </c>
      <c r="H382" s="6"/>
      <c r="I382" s="5" t="str">
        <f t="shared" si="14"/>
        <v>❌ FAIL - Wrong length (0/16 chars)</v>
      </c>
      <c r="J382" s="5" t="e">
        <f>_xlfn.LET(
  _xlpm.cf, UPPER(E382),
  _xlpm.data, D382,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82" s="5" t="e">
        <f t="shared" si="19"/>
        <v>#VALUE!</v>
      </c>
      <c r="L382" s="5" t="str">
        <f t="shared" si="20"/>
        <v xml:space="preserve">❌ FAIL - 8/50 points (1/6) - Expected: XXXXX, Found: </v>
      </c>
      <c r="M382" s="5" t="s">
        <v>24</v>
      </c>
      <c r="N382" s="5" t="s">
        <v>28</v>
      </c>
    </row>
    <row r="383" spans="1:14" ht="13">
      <c r="A383" s="5"/>
      <c r="B383" s="5"/>
      <c r="C383" s="5"/>
      <c r="D383" s="5"/>
      <c r="E383" s="5"/>
      <c r="G383" s="5" t="str">
        <f t="shared" si="18"/>
        <v>❌ FAILED: 6.4% - This person has probably not the right Codice Fiscale</v>
      </c>
      <c r="H383" s="6"/>
      <c r="I383" s="5" t="str">
        <f t="shared" si="14"/>
        <v>❌ FAIL - Wrong length (0/16 chars)</v>
      </c>
      <c r="J383" s="5" t="e">
        <f>_xlfn.LET(
  _xlpm.cf, UPPER(E383),
  _xlpm.data, D383,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83" s="5" t="e">
        <f t="shared" si="19"/>
        <v>#VALUE!</v>
      </c>
      <c r="L383" s="5" t="str">
        <f t="shared" si="20"/>
        <v xml:space="preserve">❌ FAIL - 8/50 points (1/6) - Expected: XXXXX, Found: </v>
      </c>
      <c r="M383" s="5" t="s">
        <v>24</v>
      </c>
      <c r="N383" s="5" t="s">
        <v>28</v>
      </c>
    </row>
    <row r="384" spans="1:14" ht="13">
      <c r="A384" s="5"/>
      <c r="B384" s="5"/>
      <c r="C384" s="5"/>
      <c r="D384" s="5"/>
      <c r="E384" s="5"/>
      <c r="G384" s="5" t="str">
        <f t="shared" si="18"/>
        <v>❌ FAILED: 6.4% - This person has probably not the right Codice Fiscale</v>
      </c>
      <c r="H384" s="6"/>
      <c r="I384" s="5" t="str">
        <f t="shared" si="14"/>
        <v>❌ FAIL - Wrong length (0/16 chars)</v>
      </c>
      <c r="J384" s="5" t="e">
        <f>_xlfn.LET(
  _xlpm.cf, UPPER(E384),
  _xlpm.data, D384,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84" s="5" t="e">
        <f t="shared" si="19"/>
        <v>#VALUE!</v>
      </c>
      <c r="L384" s="5" t="str">
        <f t="shared" si="20"/>
        <v xml:space="preserve">❌ FAIL - 8/50 points (1/6) - Expected: XXXXX, Found: </v>
      </c>
      <c r="M384" s="5" t="s">
        <v>24</v>
      </c>
      <c r="N384" s="5" t="s">
        <v>28</v>
      </c>
    </row>
    <row r="385" spans="1:14" ht="13">
      <c r="A385" s="5"/>
      <c r="B385" s="5"/>
      <c r="C385" s="5"/>
      <c r="D385" s="5"/>
      <c r="E385" s="5"/>
      <c r="G385" s="5" t="str">
        <f t="shared" si="18"/>
        <v>❌ FAILED: 6.4% - This person has probably not the right Codice Fiscale</v>
      </c>
      <c r="H385" s="6"/>
      <c r="I385" s="5" t="str">
        <f t="shared" si="14"/>
        <v>❌ FAIL - Wrong length (0/16 chars)</v>
      </c>
      <c r="J385" s="5" t="e">
        <f>_xlfn.LET(
  _xlpm.cf, UPPER(E385),
  _xlpm.data, D385,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85" s="5" t="e">
        <f t="shared" si="19"/>
        <v>#VALUE!</v>
      </c>
      <c r="L385" s="5" t="str">
        <f t="shared" si="20"/>
        <v xml:space="preserve">❌ FAIL - 8/50 points (1/6) - Expected: XXXXX, Found: </v>
      </c>
      <c r="M385" s="5" t="s">
        <v>24</v>
      </c>
      <c r="N385" s="5" t="s">
        <v>28</v>
      </c>
    </row>
    <row r="386" spans="1:14" ht="13">
      <c r="A386" s="5"/>
      <c r="B386" s="5"/>
      <c r="C386" s="5"/>
      <c r="D386" s="5"/>
      <c r="E386" s="5"/>
      <c r="G386" s="5" t="str">
        <f t="shared" si="18"/>
        <v>❌ FAILED: 6.4% - This person has probably not the right Codice Fiscale</v>
      </c>
      <c r="H386" s="6"/>
      <c r="I386" s="5" t="str">
        <f t="shared" si="14"/>
        <v>❌ FAIL - Wrong length (0/16 chars)</v>
      </c>
      <c r="J386" s="5" t="e">
        <f>_xlfn.LET(
  _xlpm.cf, UPPER(E386),
  _xlpm.data, D386,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86" s="5" t="e">
        <f t="shared" si="19"/>
        <v>#VALUE!</v>
      </c>
      <c r="L386" s="5" t="str">
        <f t="shared" si="20"/>
        <v xml:space="preserve">❌ FAIL - 8/50 points (1/6) - Expected: XXXXX, Found: </v>
      </c>
      <c r="M386" s="5" t="s">
        <v>24</v>
      </c>
      <c r="N386" s="5" t="s">
        <v>28</v>
      </c>
    </row>
    <row r="387" spans="1:14" ht="13">
      <c r="A387" s="5"/>
      <c r="B387" s="5"/>
      <c r="C387" s="5"/>
      <c r="D387" s="5"/>
      <c r="E387" s="5"/>
      <c r="G387" s="5" t="str">
        <f t="shared" ref="G387:G450" si="21">_xlfn.LET(
  _xlpm.check1_score, IF(ISNUMBER(SEARCH("✅", I387)), 10, 0),
  _xlpm.check2_score, IF(ISNUMBER(SEARCH("✅", J387)), 20, 0),
  _xlpm.check3_score, IF(ISNUMBER(SEARCH("✅", K387)), 10, 0),
  _xlpm.check4_score, IF(ISNUMBER(SEARCH("50/50", L387)), 40, IF(ISNUMBER(SEARCH("/50", L387)), VALUE(MID(L387, SEARCH("- ", L387) + 2, SEARCH("/50", L387) - SEARCH("- ", L387) - 2)) * 0.8, 0)),
  _xlpm.check5_score, IF(ISNUMBER(SEARCH("✅", M387)), 10, 0),
  _xlpm.check6_score, IF(ISNUMBER(SEARCH("✅", N387)), 10, 0),
  _xlpm.total_score,_xlfn.SINGLE( _xlpm.check1_score) +_xlfn.SINGLE( _xlpm.check2_score) +_xlfn.SINGLE( _xlpm.check3_score) +_xlfn.SINGLE( _xlpm.check4_score) +_xlfn.SINGLE( _xlpm.check5_score) +_xlfn.SINGLE( _xlpm.check6_score),
  _xlpm.failed_checks, 6 - (IF(_xlfn.SINGLE(_xlpm.check1_score)&gt;0,1,0) + IF(_xlfn.SINGLE(_xlpm.check2_score)&gt;0,1,0) + IF(_xlfn.SINGLE(_xlpm.check3_score)&gt;0,1,0) + IF(_xlfn.SINGLE(_xlpm.check4_score)&gt;=20,1,0) + IF(_xlfn.SINGLE(_xlpm.check5_score)&gt;0,1,0) + IF(_xlfn.SINGLE(_xlpm.check6_score)&gt;0,1,0)),
  _xlpm.length_fail,_xlfn.SINGLE( _xlpm.check1_score) = 0,
  IF(_xlfn.SINGLE(_xlpm.total_score) = 100,
    "🎯 PERFECT MATCH: 100% - Codice Fiscale is fully valid",
    IF(_xlfn.SINGLE(_xlpm.total_score) &gt;= 90,
      "✅ EXCELLENT: " &amp;_xlfn.SINGLE( _xlpm.total_score) &amp; "% - Very likely valid, minor verification recommended",
      IF(_xlfn.SINGLE(_xlpm.total_score) &gt;= 75,
        IF(AND(_xlfn.SINGLE(_xlpm.failed_checks) = 1, _xlpm.length_fail),
          "⚠️ SCORE: " &amp;_xlfn.SINGLE( _xlpm.total_score) &amp; "% - Check any typo in Codice Fiscale length (should be 16 characters)",
          "⚠️ SCORE: " &amp;_xlfn.SINGLE( _xlpm.total_score) &amp; "% - Not a perfect match, check for any typo"
        ),
        IF(_xlfn.SINGLE(_xlpm.total_score) &gt;= 50,
          "⚠️ SCORE: " &amp;_xlfn.SINGLE( _xlpm.total_score) &amp; "% - Significant issues detected, verify all data carefully",
          "❌ FAILED: " &amp;_xlfn.SINGLE( _xlpm.total_score) &amp; "% - This person has probably not the right Codice Fiscale"
        )
      )
    )
  )
)</f>
        <v>❌ FAILED: 6.4% - This person has probably not the right Codice Fiscale</v>
      </c>
      <c r="H387" s="6"/>
      <c r="I387" s="5" t="str">
        <f t="shared" si="14"/>
        <v>❌ FAIL - Wrong length (0/16 chars)</v>
      </c>
      <c r="J387" s="5" t="e">
        <f>_xlfn.LET(
  _xlpm.cf, UPPER(E387),
  _xlpm.data, D387,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87" s="5" t="e">
        <f t="shared" ref="K387:K450" si="22">_xlfn.LET(
  _xlpm.cf, UPPER(E387),
  _xlpm.gender_input, UPPER(C387),
  _xlpm.day_cf, VALUE(MID(_xlpm.cf, 10, 2)),
  _xlpm.cf_indicates_female, _xlpm.day_cf &gt; 40,
  _xlpm.input_is_female, _xlpm.gender_input = "FEMALE",
  _xlpm.gender_match, _xlpm.cf_indicates_female = _xlpm.input_is_female,
  IF(
    _xlpm.gender_match,
    "✅ PASS - Gender: " &amp; IF(_xlpm.input_is_female, "Female", "Male") &amp; " (day: " &amp; IF(_xlpm.cf_indicates_female, _xlpm.day_cf-40, _xlpm.day_cf) &amp; ")",
    "❌ FAIL - Gender mismatch: CF indicates " &amp;
      IF(_xlpm.cf_indicates_female, "Female (+40)", "Male") &amp;
      " (day: " &amp; IF(_xlpm.cf_indicates_female, _xlpm.day_cf-40, _xlpm.day_cf) &amp; ") but person is " &amp;
      IF(_xlpm.input_is_female, "Female", "Male")
  )
)</f>
        <v>#VALUE!</v>
      </c>
      <c r="L387" s="5" t="str">
        <f t="shared" si="20"/>
        <v xml:space="preserve">❌ FAIL - 8/50 points (1/6) - Expected: XXXXX, Found: </v>
      </c>
      <c r="M387" s="5" t="s">
        <v>24</v>
      </c>
      <c r="N387" s="5" t="s">
        <v>28</v>
      </c>
    </row>
    <row r="388" spans="1:14" ht="13">
      <c r="A388" s="5"/>
      <c r="B388" s="5"/>
      <c r="C388" s="5"/>
      <c r="D388" s="5"/>
      <c r="E388" s="5"/>
      <c r="G388" s="5" t="str">
        <f t="shared" si="21"/>
        <v>❌ FAILED: 6.4% - This person has probably not the right Codice Fiscale</v>
      </c>
      <c r="H388" s="6"/>
      <c r="I388" s="5" t="str">
        <f t="shared" si="14"/>
        <v>❌ FAIL - Wrong length (0/16 chars)</v>
      </c>
      <c r="J388" s="5" t="e">
        <f>_xlfn.LET(
  _xlpm.cf, UPPER(E388),
  _xlpm.data, D388,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88" s="5" t="e">
        <f t="shared" si="22"/>
        <v>#VALUE!</v>
      </c>
      <c r="L388" s="5" t="str">
        <f t="shared" si="20"/>
        <v xml:space="preserve">❌ FAIL - 8/50 points (1/6) - Expected: XXXXX, Found: </v>
      </c>
      <c r="M388" s="5" t="s">
        <v>24</v>
      </c>
      <c r="N388" s="5" t="s">
        <v>28</v>
      </c>
    </row>
    <row r="389" spans="1:14" ht="13">
      <c r="A389" s="5"/>
      <c r="B389" s="5"/>
      <c r="C389" s="5"/>
      <c r="D389" s="5"/>
      <c r="E389" s="5"/>
      <c r="G389" s="5" t="str">
        <f t="shared" si="21"/>
        <v>❌ FAILED: 6.4% - This person has probably not the right Codice Fiscale</v>
      </c>
      <c r="H389" s="6"/>
      <c r="I389" s="5" t="str">
        <f t="shared" si="14"/>
        <v>❌ FAIL - Wrong length (0/16 chars)</v>
      </c>
      <c r="J389" s="5" t="e">
        <f>_xlfn.LET(
  _xlpm.cf, UPPER(E389),
  _xlpm.data, D389,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89" s="5" t="e">
        <f t="shared" si="22"/>
        <v>#VALUE!</v>
      </c>
      <c r="L389" s="5" t="str">
        <f t="shared" ref="L389:L452" si="23">_xlfn.LET(
  _xlpm.cf_code, LEFT(UPPER(E389), 6),
  _xlpm.surname, UPPER(B389),
  _xlpm.name_clean, SUBSTITUTE(UPPER(A389), " ", ""),
  _xlpm.s_cons, SUBSTITUTE(SUBSTITUTE(SUBSTITUTE(SUBSTITUTE(SUBSTITUTE(_xlfn.SINGLE(_xlpm.surname), "A", ""), "E", ""), "I", ""), "O", ""), "U", ""),
  _xlpm.s_vowels, SUBSTITUTE(SUBSTITUTE(SUBSTITUTE(SUBSTITUTE(SUBSTITUTE(SUBSTITUTE(SUBSTITUTE(SUBSTITUTE(SUBSTITUTE(SUBSTITUTE(SUBSTITUTE(SUBSTITUTE(SUBSTITUTE(SUBSTITUTE(SUBSTITUTE(SUBSTITUTE(SUBSTITUTE(SUBSTITUTE(SUBSTITUTE(SUBSTITUTE(SUBSTITUTE(_xlfn.SINGLE(_xlpm.surname), "B", ""), "C", ""), "D", ""), "F", ""), "G", ""), "H", ""), "J", ""), "K", ""), "L", ""), "M", ""), "N", ""), "P", ""), "Q", ""), "R", ""), "S", ""), "T", ""), "V", ""), "W", ""), "X", ""), "Y", ""), "Z", ""),
  _xlpm.n_cons, SUBSTITUTE(SUBSTITUTE(SUBSTITUTE(SUBSTITUTE(SUBSTITUTE(_xlfn.SINGLE(_xlpm.name_clean), "A", ""), "E", ""), "I", ""), "O", ""), "U", ""),
  _xlpm.n_vowels, SUBSTITUTE(SUBSTITUTE(SUBSTITUTE(SUBSTITUTE(SUBSTITUTE(SUBSTITUTE(SUBSTITUTE(SUBSTITUTE(SUBSTITUTE(SUBSTITUTE(SUBSTITUTE(SUBSTITUTE(SUBSTITUTE(SUBSTITUTE(SUBSTITUTE(SUBSTITUTE(SUBSTITUTE(SUBSTITUTE(SUBSTITUTE(SUBSTITUTE(SUBSTITUTE(_xlfn.SINGLE(_xlpm.name_clean), "B", ""), "C", ""), "D", ""), "F", ""), "G", ""), "H", ""), "J", ""), "K", ""), "L", ""), "M", ""), "N", ""), "P", ""), "Q", ""), "R", ""), "S", ""), "T", ""), "V", ""), "W", ""), "X", ""), "Y", ""), "Z", ""),
  _xlpm.surname_code, IF(LEN(_xlfn.SINGLE(_xlpm.s_cons)) &gt;= 3, LEFT(_xlfn.SINGLE(_xlpm.s_cons), 3), IF(LEN(_xlfn.SINGLE(_xlpm.s_cons)) = 2,_xlfn.SINGLE( _xlpm.s_cons) &amp; LEFT(_xlfn.SINGLE(_xlpm.s_vowels), 1), IF(LEN(_xlfn.SINGLE(_xlpm.s_cons)) = 1, LEFT(_xlfn.SINGLE(_xlpm.s_cons) &amp;_xlfn.SINGLE( _xlpm.s_vowels) &amp; "XX", 3), LEFT(_xlfn.SINGLE(_xlpm.s_vowels) &amp; "XX", 3)))),
  _xlpm.name_code, IF(LEN(_xlfn.SINGLE(_xlpm.n_cons)) &gt;= 4,
    MID(_xlfn.SINGLE(_xlpm.n_cons),1,1) &amp; MID(_xlfn.SINGLE(_xlpm.n_cons),3,1) &amp; MID(_xlfn.SINGLE(_xlpm.n_cons),4,1),
    IF(LEN(_xlfn.SINGLE(_xlpm.n_cons)) = 3,
      LEFT(_xlfn.SINGLE(_xlpm.n_cons), 3),
      LEFT(_xlfn.SINGLE(_xlpm.n_cons) &amp;_xlfn.SINGLE( _xlpm.n_vowels) &amp; "XXX", 3)
    )
  ),
  _xlpm.expected,_xlfn.SINGLE( _xlpm.surname_code) &amp;_xlfn.SINGLE( _xlpm.name_code),
  _xlpm.matches, (IF(MID(_xlfn.SINGLE(_xlpm.expected),1,1)=MID(_xlfn.SINGLE(_xlpm.cf_code),1,1),1,0))+(IF(MID(_xlfn.SINGLE(_xlpm.expected),2,1)=MID(_xlfn.SINGLE(_xlpm.cf_code),2,1),1,0))+(IF(MID(_xlfn.SINGLE(_xlpm.expected),3,1)=MID(_xlfn.SINGLE(_xlpm.cf_code),3,1),1,0))+(IF(MID(_xlfn.SINGLE(_xlpm.expected),4,1)=MID(_xlfn.SINGLE(_xlpm.cf_code),4,1),1,0))+(IF(MID(_xlfn.SINGLE(_xlpm.expected),5,1)=MID(_xlfn.SINGLE(_xlpm.cf_code),5,1),1,0))+(IF(MID(_xlfn.SINGLE(_xlpm.expected),6,1)=MID(_xlfn.SINGLE(_xlpm.cf_code),6,1),1,0)),
  IF(_xlfn.SINGLE(_xlpm.matches)=6, "✅ PASS - 50/50 points", "❌ FAIL - " &amp; ROUND(_xlfn.SINGLE(_xlpm.matches)/6*50,0) &amp; "/50 points (" &amp;_xlfn.SINGLE( _xlpm.matches) &amp; "/6) - Expected: " &amp;_xlfn.SINGLE( _xlpm.expected) &amp; ", Found: " &amp;_xlfn.SINGLE( _xlpm.cf_code))
)</f>
        <v xml:space="preserve">❌ FAIL - 8/50 points (1/6) - Expected: XXXXX, Found: </v>
      </c>
      <c r="M389" s="5" t="s">
        <v>24</v>
      </c>
      <c r="N389" s="5" t="s">
        <v>28</v>
      </c>
    </row>
    <row r="390" spans="1:14" ht="13">
      <c r="A390" s="5"/>
      <c r="B390" s="5"/>
      <c r="C390" s="5"/>
      <c r="D390" s="5"/>
      <c r="E390" s="5"/>
      <c r="G390" s="5" t="str">
        <f t="shared" si="21"/>
        <v>❌ FAILED: 6.4% - This person has probably not the right Codice Fiscale</v>
      </c>
      <c r="H390" s="6"/>
      <c r="I390" s="5" t="str">
        <f t="shared" si="14"/>
        <v>❌ FAIL - Wrong length (0/16 chars)</v>
      </c>
      <c r="J390" s="5" t="e">
        <f>_xlfn.LET(
  _xlpm.cf, UPPER(E390),
  _xlpm.data, D390,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90" s="5" t="e">
        <f t="shared" si="22"/>
        <v>#VALUE!</v>
      </c>
      <c r="L390" s="5" t="str">
        <f t="shared" si="23"/>
        <v xml:space="preserve">❌ FAIL - 8/50 points (1/6) - Expected: XXXXX, Found: </v>
      </c>
      <c r="M390" s="5" t="s">
        <v>24</v>
      </c>
      <c r="N390" s="5" t="s">
        <v>28</v>
      </c>
    </row>
    <row r="391" spans="1:14" ht="13">
      <c r="A391" s="5"/>
      <c r="B391" s="5"/>
      <c r="C391" s="5"/>
      <c r="D391" s="5"/>
      <c r="E391" s="5"/>
      <c r="G391" s="5" t="str">
        <f t="shared" si="21"/>
        <v>❌ FAILED: 6.4% - This person has probably not the right Codice Fiscale</v>
      </c>
      <c r="H391" s="6"/>
      <c r="I391" s="5" t="str">
        <f t="shared" si="14"/>
        <v>❌ FAIL - Wrong length (0/16 chars)</v>
      </c>
      <c r="J391" s="5" t="e">
        <f>_xlfn.LET(
  _xlpm.cf, UPPER(E391),
  _xlpm.data, D391,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91" s="5" t="e">
        <f t="shared" si="22"/>
        <v>#VALUE!</v>
      </c>
      <c r="L391" s="5" t="str">
        <f t="shared" si="23"/>
        <v xml:space="preserve">❌ FAIL - 8/50 points (1/6) - Expected: XXXXX, Found: </v>
      </c>
      <c r="M391" s="5" t="s">
        <v>24</v>
      </c>
      <c r="N391" s="5" t="s">
        <v>28</v>
      </c>
    </row>
    <row r="392" spans="1:14" ht="13">
      <c r="A392" s="5"/>
      <c r="B392" s="5"/>
      <c r="C392" s="5"/>
      <c r="D392" s="5"/>
      <c r="E392" s="5"/>
      <c r="G392" s="5" t="str">
        <f t="shared" si="21"/>
        <v>❌ FAILED: 6.4% - This person has probably not the right Codice Fiscale</v>
      </c>
      <c r="H392" s="6"/>
      <c r="I392" s="5" t="str">
        <f t="shared" si="14"/>
        <v>❌ FAIL - Wrong length (0/16 chars)</v>
      </c>
      <c r="J392" s="5" t="e">
        <f>_xlfn.LET(
  _xlpm.cf, UPPER(E392),
  _xlpm.data, D392,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92" s="5" t="e">
        <f t="shared" si="22"/>
        <v>#VALUE!</v>
      </c>
      <c r="L392" s="5" t="str">
        <f t="shared" si="23"/>
        <v xml:space="preserve">❌ FAIL - 8/50 points (1/6) - Expected: XXXXX, Found: </v>
      </c>
      <c r="M392" s="5" t="s">
        <v>24</v>
      </c>
      <c r="N392" s="5" t="s">
        <v>28</v>
      </c>
    </row>
    <row r="393" spans="1:14" ht="13">
      <c r="A393" s="5"/>
      <c r="B393" s="5"/>
      <c r="C393" s="5"/>
      <c r="D393" s="5"/>
      <c r="E393" s="5"/>
      <c r="G393" s="5" t="str">
        <f t="shared" si="21"/>
        <v>❌ FAILED: 6.4% - This person has probably not the right Codice Fiscale</v>
      </c>
      <c r="H393" s="6"/>
      <c r="I393" s="5" t="str">
        <f t="shared" si="14"/>
        <v>❌ FAIL - Wrong length (0/16 chars)</v>
      </c>
      <c r="J393" s="5" t="e">
        <f>_xlfn.LET(
  _xlpm.cf, UPPER(E393),
  _xlpm.data, D393,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93" s="5" t="e">
        <f t="shared" si="22"/>
        <v>#VALUE!</v>
      </c>
      <c r="L393" s="5" t="str">
        <f t="shared" si="23"/>
        <v xml:space="preserve">❌ FAIL - 8/50 points (1/6) - Expected: XXXXX, Found: </v>
      </c>
      <c r="M393" s="5" t="s">
        <v>24</v>
      </c>
      <c r="N393" s="5" t="s">
        <v>28</v>
      </c>
    </row>
    <row r="394" spans="1:14" ht="13">
      <c r="A394" s="5"/>
      <c r="B394" s="5"/>
      <c r="C394" s="5"/>
      <c r="D394" s="5"/>
      <c r="E394" s="5"/>
      <c r="G394" s="5" t="str">
        <f t="shared" si="21"/>
        <v>❌ FAILED: 6.4% - This person has probably not the right Codice Fiscale</v>
      </c>
      <c r="H394" s="6"/>
      <c r="I394" s="5" t="str">
        <f t="shared" si="14"/>
        <v>❌ FAIL - Wrong length (0/16 chars)</v>
      </c>
      <c r="J394" s="5" t="e">
        <f>_xlfn.LET(
  _xlpm.cf, UPPER(E394),
  _xlpm.data, D394,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94" s="5" t="e">
        <f t="shared" si="22"/>
        <v>#VALUE!</v>
      </c>
      <c r="L394" s="5" t="str">
        <f t="shared" si="23"/>
        <v xml:space="preserve">❌ FAIL - 8/50 points (1/6) - Expected: XXXXX, Found: </v>
      </c>
      <c r="M394" s="5" t="s">
        <v>24</v>
      </c>
      <c r="N394" s="5" t="s">
        <v>28</v>
      </c>
    </row>
    <row r="395" spans="1:14" ht="13">
      <c r="A395" s="5"/>
      <c r="B395" s="5"/>
      <c r="C395" s="5"/>
      <c r="D395" s="5"/>
      <c r="E395" s="5"/>
      <c r="G395" s="5" t="str">
        <f t="shared" si="21"/>
        <v>❌ FAILED: 6.4% - This person has probably not the right Codice Fiscale</v>
      </c>
      <c r="H395" s="6"/>
      <c r="I395" s="5" t="str">
        <f t="shared" si="14"/>
        <v>❌ FAIL - Wrong length (0/16 chars)</v>
      </c>
      <c r="J395" s="5" t="e">
        <f>_xlfn.LET(
  _xlpm.cf, UPPER(E395),
  _xlpm.data, D395,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95" s="5" t="e">
        <f t="shared" si="22"/>
        <v>#VALUE!</v>
      </c>
      <c r="L395" s="5" t="str">
        <f t="shared" si="23"/>
        <v xml:space="preserve">❌ FAIL - 8/50 points (1/6) - Expected: XXXXX, Found: </v>
      </c>
      <c r="M395" s="5" t="s">
        <v>24</v>
      </c>
      <c r="N395" s="5" t="s">
        <v>28</v>
      </c>
    </row>
    <row r="396" spans="1:14" ht="13">
      <c r="A396" s="5"/>
      <c r="B396" s="5"/>
      <c r="C396" s="5"/>
      <c r="D396" s="5"/>
      <c r="E396" s="5"/>
      <c r="G396" s="5" t="str">
        <f t="shared" si="21"/>
        <v>❌ FAILED: 6.4% - This person has probably not the right Codice Fiscale</v>
      </c>
      <c r="H396" s="6"/>
      <c r="I396" s="5" t="str">
        <f t="shared" si="14"/>
        <v>❌ FAIL - Wrong length (0/16 chars)</v>
      </c>
      <c r="J396" s="5" t="e">
        <f>_xlfn.LET(
  _xlpm.cf, UPPER(E396),
  _xlpm.data, D396,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96" s="5" t="e">
        <f t="shared" si="22"/>
        <v>#VALUE!</v>
      </c>
      <c r="L396" s="5" t="str">
        <f t="shared" si="23"/>
        <v xml:space="preserve">❌ FAIL - 8/50 points (1/6) - Expected: XXXXX, Found: </v>
      </c>
      <c r="M396" s="5" t="s">
        <v>24</v>
      </c>
      <c r="N396" s="5" t="s">
        <v>28</v>
      </c>
    </row>
    <row r="397" spans="1:14" ht="13">
      <c r="A397" s="5"/>
      <c r="B397" s="5"/>
      <c r="C397" s="5"/>
      <c r="D397" s="5"/>
      <c r="E397" s="5"/>
      <c r="G397" s="5" t="str">
        <f t="shared" si="21"/>
        <v>❌ FAILED: 6.4% - This person has probably not the right Codice Fiscale</v>
      </c>
      <c r="H397" s="6"/>
      <c r="I397" s="5" t="str">
        <f t="shared" si="14"/>
        <v>❌ FAIL - Wrong length (0/16 chars)</v>
      </c>
      <c r="J397" s="5" t="e">
        <f>_xlfn.LET(
  _xlpm.cf, UPPER(E397),
  _xlpm.data, D397,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97" s="5" t="e">
        <f t="shared" si="22"/>
        <v>#VALUE!</v>
      </c>
      <c r="L397" s="5" t="str">
        <f t="shared" si="23"/>
        <v xml:space="preserve">❌ FAIL - 8/50 points (1/6) - Expected: XXXXX, Found: </v>
      </c>
      <c r="M397" s="5" t="s">
        <v>24</v>
      </c>
      <c r="N397" s="5" t="s">
        <v>28</v>
      </c>
    </row>
    <row r="398" spans="1:14" ht="13">
      <c r="A398" s="5"/>
      <c r="B398" s="5"/>
      <c r="C398" s="5"/>
      <c r="D398" s="5"/>
      <c r="E398" s="5"/>
      <c r="G398" s="5" t="str">
        <f t="shared" si="21"/>
        <v>❌ FAILED: 6.4% - This person has probably not the right Codice Fiscale</v>
      </c>
      <c r="H398" s="6"/>
      <c r="I398" s="5" t="str">
        <f t="shared" si="14"/>
        <v>❌ FAIL - Wrong length (0/16 chars)</v>
      </c>
      <c r="J398" s="5" t="e">
        <f>_xlfn.LET(
  _xlpm.cf, UPPER(E398),
  _xlpm.data, D398,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98" s="5" t="e">
        <f t="shared" si="22"/>
        <v>#VALUE!</v>
      </c>
      <c r="L398" s="5" t="str">
        <f t="shared" si="23"/>
        <v xml:space="preserve">❌ FAIL - 8/50 points (1/6) - Expected: XXXXX, Found: </v>
      </c>
      <c r="M398" s="5" t="s">
        <v>24</v>
      </c>
      <c r="N398" s="5" t="s">
        <v>28</v>
      </c>
    </row>
    <row r="399" spans="1:14" ht="13">
      <c r="A399" s="5"/>
      <c r="B399" s="5"/>
      <c r="C399" s="5"/>
      <c r="D399" s="5"/>
      <c r="E399" s="5"/>
      <c r="G399" s="5" t="str">
        <f t="shared" si="21"/>
        <v>❌ FAILED: 6.4% - This person has probably not the right Codice Fiscale</v>
      </c>
      <c r="H399" s="6"/>
      <c r="I399" s="5" t="str">
        <f t="shared" si="14"/>
        <v>❌ FAIL - Wrong length (0/16 chars)</v>
      </c>
      <c r="J399" s="5" t="e">
        <f>_xlfn.LET(
  _xlpm.cf, UPPER(E399),
  _xlpm.data, D399,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399" s="5" t="e">
        <f t="shared" si="22"/>
        <v>#VALUE!</v>
      </c>
      <c r="L399" s="5" t="str">
        <f t="shared" si="23"/>
        <v xml:space="preserve">❌ FAIL - 8/50 points (1/6) - Expected: XXXXX, Found: </v>
      </c>
      <c r="M399" s="5" t="s">
        <v>24</v>
      </c>
      <c r="N399" s="5" t="s">
        <v>28</v>
      </c>
    </row>
    <row r="400" spans="1:14" ht="13">
      <c r="A400" s="5"/>
      <c r="B400" s="5"/>
      <c r="C400" s="5"/>
      <c r="D400" s="5"/>
      <c r="E400" s="5"/>
      <c r="G400" s="5" t="str">
        <f t="shared" si="21"/>
        <v>❌ FAILED: 6.4% - This person has probably not the right Codice Fiscale</v>
      </c>
      <c r="H400" s="6"/>
      <c r="I400" s="5" t="str">
        <f t="shared" si="14"/>
        <v>❌ FAIL - Wrong length (0/16 chars)</v>
      </c>
      <c r="J400" s="5" t="e">
        <f>_xlfn.LET(
  _xlpm.cf, UPPER(E400),
  _xlpm.data, D400,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00" s="5" t="e">
        <f t="shared" si="22"/>
        <v>#VALUE!</v>
      </c>
      <c r="L400" s="5" t="str">
        <f t="shared" si="23"/>
        <v xml:space="preserve">❌ FAIL - 8/50 points (1/6) - Expected: XXXXX, Found: </v>
      </c>
      <c r="M400" s="5" t="s">
        <v>24</v>
      </c>
      <c r="N400" s="5" t="s">
        <v>28</v>
      </c>
    </row>
    <row r="401" spans="1:14" ht="13">
      <c r="A401" s="5"/>
      <c r="B401" s="5"/>
      <c r="C401" s="5"/>
      <c r="D401" s="5"/>
      <c r="E401" s="5"/>
      <c r="G401" s="5" t="str">
        <f t="shared" si="21"/>
        <v>❌ FAILED: 6.4% - This person has probably not the right Codice Fiscale</v>
      </c>
      <c r="H401" s="6"/>
      <c r="I401" s="5" t="str">
        <f t="shared" si="14"/>
        <v>❌ FAIL - Wrong length (0/16 chars)</v>
      </c>
      <c r="J401" s="5" t="e">
        <f>_xlfn.LET(
  _xlpm.cf, UPPER(E401),
  _xlpm.data, D401,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01" s="5" t="e">
        <f t="shared" si="22"/>
        <v>#VALUE!</v>
      </c>
      <c r="L401" s="5" t="str">
        <f t="shared" si="23"/>
        <v xml:space="preserve">❌ FAIL - 8/50 points (1/6) - Expected: XXXXX, Found: </v>
      </c>
      <c r="M401" s="5" t="s">
        <v>24</v>
      </c>
      <c r="N401" s="5" t="s">
        <v>28</v>
      </c>
    </row>
    <row r="402" spans="1:14" ht="13">
      <c r="A402" s="5"/>
      <c r="B402" s="5"/>
      <c r="C402" s="5"/>
      <c r="D402" s="5"/>
      <c r="E402" s="5"/>
      <c r="G402" s="5" t="str">
        <f t="shared" si="21"/>
        <v>❌ FAILED: 6.4% - This person has probably not the right Codice Fiscale</v>
      </c>
      <c r="H402" s="6"/>
      <c r="I402" s="5" t="str">
        <f t="shared" si="14"/>
        <v>❌ FAIL - Wrong length (0/16 chars)</v>
      </c>
      <c r="J402" s="5" t="e">
        <f>_xlfn.LET(
  _xlpm.cf, UPPER(E402),
  _xlpm.data, D402,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02" s="5" t="e">
        <f t="shared" si="22"/>
        <v>#VALUE!</v>
      </c>
      <c r="L402" s="5" t="str">
        <f t="shared" si="23"/>
        <v xml:space="preserve">❌ FAIL - 8/50 points (1/6) - Expected: XXXXX, Found: </v>
      </c>
      <c r="M402" s="5" t="s">
        <v>24</v>
      </c>
      <c r="N402" s="5" t="s">
        <v>28</v>
      </c>
    </row>
    <row r="403" spans="1:14" ht="13">
      <c r="A403" s="5"/>
      <c r="B403" s="5"/>
      <c r="C403" s="5"/>
      <c r="D403" s="5"/>
      <c r="E403" s="5"/>
      <c r="G403" s="5" t="str">
        <f t="shared" si="21"/>
        <v>❌ FAILED: 6.4% - This person has probably not the right Codice Fiscale</v>
      </c>
      <c r="H403" s="6"/>
      <c r="I403" s="5" t="str">
        <f t="shared" si="14"/>
        <v>❌ FAIL - Wrong length (0/16 chars)</v>
      </c>
      <c r="J403" s="5" t="e">
        <f>_xlfn.LET(
  _xlpm.cf, UPPER(E403),
  _xlpm.data, D403,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03" s="5" t="e">
        <f t="shared" si="22"/>
        <v>#VALUE!</v>
      </c>
      <c r="L403" s="5" t="str">
        <f t="shared" si="23"/>
        <v xml:space="preserve">❌ FAIL - 8/50 points (1/6) - Expected: XXXXX, Found: </v>
      </c>
      <c r="M403" s="5" t="s">
        <v>24</v>
      </c>
      <c r="N403" s="5" t="s">
        <v>28</v>
      </c>
    </row>
    <row r="404" spans="1:14" ht="13">
      <c r="A404" s="5"/>
      <c r="B404" s="5"/>
      <c r="C404" s="5"/>
      <c r="D404" s="5"/>
      <c r="E404" s="5"/>
      <c r="G404" s="5" t="str">
        <f t="shared" si="21"/>
        <v>❌ FAILED: 6.4% - This person has probably not the right Codice Fiscale</v>
      </c>
      <c r="H404" s="6"/>
      <c r="I404" s="5" t="str">
        <f t="shared" si="14"/>
        <v>❌ FAIL - Wrong length (0/16 chars)</v>
      </c>
      <c r="J404" s="5" t="e">
        <f>_xlfn.LET(
  _xlpm.cf, UPPER(E404),
  _xlpm.data, D404,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04" s="5" t="e">
        <f t="shared" si="22"/>
        <v>#VALUE!</v>
      </c>
      <c r="L404" s="5" t="str">
        <f t="shared" si="23"/>
        <v xml:space="preserve">❌ FAIL - 8/50 points (1/6) - Expected: XXXXX, Found: </v>
      </c>
      <c r="M404" s="5" t="s">
        <v>24</v>
      </c>
      <c r="N404" s="5" t="s">
        <v>28</v>
      </c>
    </row>
    <row r="405" spans="1:14" ht="13">
      <c r="A405" s="5"/>
      <c r="B405" s="5"/>
      <c r="C405" s="5"/>
      <c r="D405" s="5"/>
      <c r="E405" s="5"/>
      <c r="G405" s="5" t="str">
        <f t="shared" si="21"/>
        <v>❌ FAILED: 6.4% - This person has probably not the right Codice Fiscale</v>
      </c>
      <c r="H405" s="6"/>
      <c r="I405" s="5" t="str">
        <f t="shared" si="14"/>
        <v>❌ FAIL - Wrong length (0/16 chars)</v>
      </c>
      <c r="J405" s="5" t="e">
        <f>_xlfn.LET(
  _xlpm.cf, UPPER(E405),
  _xlpm.data, D405,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05" s="5" t="e">
        <f t="shared" si="22"/>
        <v>#VALUE!</v>
      </c>
      <c r="L405" s="5" t="str">
        <f t="shared" si="23"/>
        <v xml:space="preserve">❌ FAIL - 8/50 points (1/6) - Expected: XXXXX, Found: </v>
      </c>
      <c r="M405" s="5" t="s">
        <v>24</v>
      </c>
      <c r="N405" s="5" t="s">
        <v>28</v>
      </c>
    </row>
    <row r="406" spans="1:14" ht="13">
      <c r="A406" s="5"/>
      <c r="B406" s="5"/>
      <c r="C406" s="5"/>
      <c r="D406" s="5"/>
      <c r="E406" s="5"/>
      <c r="G406" s="5" t="str">
        <f t="shared" si="21"/>
        <v>❌ FAILED: 6.4% - This person has probably not the right Codice Fiscale</v>
      </c>
      <c r="H406" s="6"/>
      <c r="I406" s="5" t="str">
        <f t="shared" si="14"/>
        <v>❌ FAIL - Wrong length (0/16 chars)</v>
      </c>
      <c r="J406" s="5" t="e">
        <f>_xlfn.LET(
  _xlpm.cf, UPPER(E406),
  _xlpm.data, D406,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06" s="5" t="e">
        <f t="shared" si="22"/>
        <v>#VALUE!</v>
      </c>
      <c r="L406" s="5" t="str">
        <f t="shared" si="23"/>
        <v xml:space="preserve">❌ FAIL - 8/50 points (1/6) - Expected: XXXXX, Found: </v>
      </c>
      <c r="M406" s="5" t="s">
        <v>24</v>
      </c>
      <c r="N406" s="5" t="s">
        <v>28</v>
      </c>
    </row>
    <row r="407" spans="1:14" ht="13">
      <c r="A407" s="5"/>
      <c r="B407" s="5"/>
      <c r="C407" s="5"/>
      <c r="D407" s="5"/>
      <c r="E407" s="5"/>
      <c r="G407" s="5" t="str">
        <f t="shared" si="21"/>
        <v>❌ FAILED: 6.4% - This person has probably not the right Codice Fiscale</v>
      </c>
      <c r="H407" s="6"/>
      <c r="I407" s="5" t="str">
        <f t="shared" si="14"/>
        <v>❌ FAIL - Wrong length (0/16 chars)</v>
      </c>
      <c r="J407" s="5" t="e">
        <f>_xlfn.LET(
  _xlpm.cf, UPPER(E407),
  _xlpm.data, D407,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07" s="5" t="e">
        <f t="shared" si="22"/>
        <v>#VALUE!</v>
      </c>
      <c r="L407" s="5" t="str">
        <f t="shared" si="23"/>
        <v xml:space="preserve">❌ FAIL - 8/50 points (1/6) - Expected: XXXXX, Found: </v>
      </c>
      <c r="M407" s="5" t="s">
        <v>24</v>
      </c>
      <c r="N407" s="5" t="s">
        <v>28</v>
      </c>
    </row>
    <row r="408" spans="1:14" ht="13">
      <c r="A408" s="5"/>
      <c r="B408" s="5"/>
      <c r="C408" s="5"/>
      <c r="D408" s="5"/>
      <c r="E408" s="5"/>
      <c r="G408" s="5" t="str">
        <f t="shared" si="21"/>
        <v>❌ FAILED: 6.4% - This person has probably not the right Codice Fiscale</v>
      </c>
      <c r="H408" s="6"/>
      <c r="I408" s="5" t="str">
        <f t="shared" si="14"/>
        <v>❌ FAIL - Wrong length (0/16 chars)</v>
      </c>
      <c r="J408" s="5" t="e">
        <f>_xlfn.LET(
  _xlpm.cf, UPPER(E408),
  _xlpm.data, D408,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08" s="5" t="e">
        <f t="shared" si="22"/>
        <v>#VALUE!</v>
      </c>
      <c r="L408" s="5" t="str">
        <f t="shared" si="23"/>
        <v xml:space="preserve">❌ FAIL - 8/50 points (1/6) - Expected: XXXXX, Found: </v>
      </c>
      <c r="M408" s="5" t="s">
        <v>24</v>
      </c>
      <c r="N408" s="5" t="s">
        <v>28</v>
      </c>
    </row>
    <row r="409" spans="1:14" ht="13">
      <c r="A409" s="5"/>
      <c r="B409" s="5"/>
      <c r="C409" s="5"/>
      <c r="D409" s="5"/>
      <c r="E409" s="5"/>
      <c r="G409" s="5" t="str">
        <f t="shared" si="21"/>
        <v>❌ FAILED: 6.4% - This person has probably not the right Codice Fiscale</v>
      </c>
      <c r="H409" s="6"/>
      <c r="I409" s="5" t="str">
        <f t="shared" si="14"/>
        <v>❌ FAIL - Wrong length (0/16 chars)</v>
      </c>
      <c r="J409" s="5" t="e">
        <f>_xlfn.LET(
  _xlpm.cf, UPPER(E409),
  _xlpm.data, D409,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09" s="5" t="e">
        <f t="shared" si="22"/>
        <v>#VALUE!</v>
      </c>
      <c r="L409" s="5" t="str">
        <f t="shared" si="23"/>
        <v xml:space="preserve">❌ FAIL - 8/50 points (1/6) - Expected: XXXXX, Found: </v>
      </c>
      <c r="M409" s="5" t="s">
        <v>24</v>
      </c>
      <c r="N409" s="5" t="s">
        <v>28</v>
      </c>
    </row>
    <row r="410" spans="1:14" ht="13">
      <c r="A410" s="5"/>
      <c r="B410" s="5"/>
      <c r="C410" s="5"/>
      <c r="D410" s="5"/>
      <c r="E410" s="5"/>
      <c r="G410" s="5" t="str">
        <f t="shared" si="21"/>
        <v>❌ FAILED: 6.4% - This person has probably not the right Codice Fiscale</v>
      </c>
      <c r="H410" s="6"/>
      <c r="I410" s="5" t="str">
        <f t="shared" si="14"/>
        <v>❌ FAIL - Wrong length (0/16 chars)</v>
      </c>
      <c r="J410" s="5" t="e">
        <f>_xlfn.LET(
  _xlpm.cf, UPPER(E410),
  _xlpm.data, D410,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10" s="5" t="e">
        <f t="shared" si="22"/>
        <v>#VALUE!</v>
      </c>
      <c r="L410" s="5" t="str">
        <f t="shared" si="23"/>
        <v xml:space="preserve">❌ FAIL - 8/50 points (1/6) - Expected: XXXXX, Found: </v>
      </c>
      <c r="M410" s="5" t="s">
        <v>24</v>
      </c>
      <c r="N410" s="5" t="s">
        <v>28</v>
      </c>
    </row>
    <row r="411" spans="1:14" ht="13">
      <c r="A411" s="5"/>
      <c r="B411" s="5"/>
      <c r="C411" s="5"/>
      <c r="D411" s="5"/>
      <c r="E411" s="5"/>
      <c r="G411" s="5" t="str">
        <f t="shared" si="21"/>
        <v>❌ FAILED: 6.4% - This person has probably not the right Codice Fiscale</v>
      </c>
      <c r="H411" s="6"/>
      <c r="I411" s="5" t="str">
        <f t="shared" si="14"/>
        <v>❌ FAIL - Wrong length (0/16 chars)</v>
      </c>
      <c r="J411" s="5" t="e">
        <f>_xlfn.LET(
  _xlpm.cf, UPPER(E411),
  _xlpm.data, D411,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11" s="5" t="e">
        <f t="shared" si="22"/>
        <v>#VALUE!</v>
      </c>
      <c r="L411" s="5" t="str">
        <f t="shared" si="23"/>
        <v xml:space="preserve">❌ FAIL - 8/50 points (1/6) - Expected: XXXXX, Found: </v>
      </c>
      <c r="M411" s="5" t="s">
        <v>24</v>
      </c>
      <c r="N411" s="5" t="s">
        <v>28</v>
      </c>
    </row>
    <row r="412" spans="1:14" ht="13">
      <c r="A412" s="5"/>
      <c r="B412" s="5"/>
      <c r="C412" s="5"/>
      <c r="D412" s="5"/>
      <c r="E412" s="5"/>
      <c r="G412" s="5" t="str">
        <f t="shared" si="21"/>
        <v>❌ FAILED: 6.4% - This person has probably not the right Codice Fiscale</v>
      </c>
      <c r="H412" s="6"/>
      <c r="I412" s="5" t="str">
        <f t="shared" si="14"/>
        <v>❌ FAIL - Wrong length (0/16 chars)</v>
      </c>
      <c r="J412" s="5" t="e">
        <f>_xlfn.LET(
  _xlpm.cf, UPPER(E412),
  _xlpm.data, D412,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12" s="5" t="e">
        <f t="shared" si="22"/>
        <v>#VALUE!</v>
      </c>
      <c r="L412" s="5" t="str">
        <f t="shared" si="23"/>
        <v xml:space="preserve">❌ FAIL - 8/50 points (1/6) - Expected: XXXXX, Found: </v>
      </c>
      <c r="M412" s="5" t="s">
        <v>24</v>
      </c>
      <c r="N412" s="5" t="s">
        <v>28</v>
      </c>
    </row>
    <row r="413" spans="1:14" ht="13">
      <c r="A413" s="5"/>
      <c r="B413" s="5"/>
      <c r="C413" s="5"/>
      <c r="D413" s="5"/>
      <c r="E413" s="5"/>
      <c r="G413" s="5" t="str">
        <f t="shared" si="21"/>
        <v>❌ FAILED: 6.4% - This person has probably not the right Codice Fiscale</v>
      </c>
      <c r="H413" s="6"/>
      <c r="I413" s="5" t="str">
        <f t="shared" si="14"/>
        <v>❌ FAIL - Wrong length (0/16 chars)</v>
      </c>
      <c r="J413" s="5" t="e">
        <f>_xlfn.LET(
  _xlpm.cf, UPPER(E413),
  _xlpm.data, D413,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13" s="5" t="e">
        <f t="shared" si="22"/>
        <v>#VALUE!</v>
      </c>
      <c r="L413" s="5" t="str">
        <f t="shared" si="23"/>
        <v xml:space="preserve">❌ FAIL - 8/50 points (1/6) - Expected: XXXXX, Found: </v>
      </c>
      <c r="M413" s="5" t="s">
        <v>24</v>
      </c>
      <c r="N413" s="5" t="s">
        <v>28</v>
      </c>
    </row>
    <row r="414" spans="1:14" ht="13">
      <c r="A414" s="5"/>
      <c r="B414" s="5"/>
      <c r="C414" s="5"/>
      <c r="D414" s="5"/>
      <c r="E414" s="5"/>
      <c r="G414" s="5" t="str">
        <f t="shared" si="21"/>
        <v>❌ FAILED: 6.4% - This person has probably not the right Codice Fiscale</v>
      </c>
      <c r="H414" s="6"/>
      <c r="I414" s="5" t="str">
        <f t="shared" si="14"/>
        <v>❌ FAIL - Wrong length (0/16 chars)</v>
      </c>
      <c r="J414" s="5" t="e">
        <f>_xlfn.LET(
  _xlpm.cf, UPPER(E414),
  _xlpm.data, D414,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14" s="5" t="e">
        <f t="shared" si="22"/>
        <v>#VALUE!</v>
      </c>
      <c r="L414" s="5" t="str">
        <f t="shared" si="23"/>
        <v xml:space="preserve">❌ FAIL - 8/50 points (1/6) - Expected: XXXXX, Found: </v>
      </c>
      <c r="M414" s="5" t="s">
        <v>24</v>
      </c>
      <c r="N414" s="5" t="s">
        <v>28</v>
      </c>
    </row>
    <row r="415" spans="1:14" ht="13">
      <c r="A415" s="5"/>
      <c r="B415" s="5"/>
      <c r="C415" s="5"/>
      <c r="D415" s="5"/>
      <c r="E415" s="5"/>
      <c r="G415" s="5" t="str">
        <f t="shared" si="21"/>
        <v>❌ FAILED: 6.4% - This person has probably not the right Codice Fiscale</v>
      </c>
      <c r="H415" s="6"/>
      <c r="I415" s="5" t="str">
        <f t="shared" si="14"/>
        <v>❌ FAIL - Wrong length (0/16 chars)</v>
      </c>
      <c r="J415" s="5" t="e">
        <f>_xlfn.LET(
  _xlpm.cf, UPPER(E415),
  _xlpm.data, D415,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15" s="5" t="e">
        <f t="shared" si="22"/>
        <v>#VALUE!</v>
      </c>
      <c r="L415" s="5" t="str">
        <f t="shared" si="23"/>
        <v xml:space="preserve">❌ FAIL - 8/50 points (1/6) - Expected: XXXXX, Found: </v>
      </c>
      <c r="M415" s="5" t="s">
        <v>24</v>
      </c>
      <c r="N415" s="5" t="s">
        <v>28</v>
      </c>
    </row>
    <row r="416" spans="1:14" ht="13">
      <c r="A416" s="5"/>
      <c r="B416" s="5"/>
      <c r="C416" s="5"/>
      <c r="D416" s="5"/>
      <c r="E416" s="5"/>
      <c r="G416" s="5" t="str">
        <f t="shared" si="21"/>
        <v>❌ FAILED: 6.4% - This person has probably not the right Codice Fiscale</v>
      </c>
      <c r="H416" s="6"/>
      <c r="I416" s="5" t="str">
        <f t="shared" si="14"/>
        <v>❌ FAIL - Wrong length (0/16 chars)</v>
      </c>
      <c r="J416" s="5" t="e">
        <f>_xlfn.LET(
  _xlpm.cf, UPPER(E416),
  _xlpm.data, D416,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16" s="5" t="e">
        <f t="shared" si="22"/>
        <v>#VALUE!</v>
      </c>
      <c r="L416" s="5" t="str">
        <f t="shared" si="23"/>
        <v xml:space="preserve">❌ FAIL - 8/50 points (1/6) - Expected: XXXXX, Found: </v>
      </c>
      <c r="M416" s="5" t="s">
        <v>24</v>
      </c>
      <c r="N416" s="5" t="s">
        <v>28</v>
      </c>
    </row>
    <row r="417" spans="1:14" ht="13">
      <c r="A417" s="5"/>
      <c r="B417" s="5"/>
      <c r="C417" s="5"/>
      <c r="D417" s="5"/>
      <c r="E417" s="5"/>
      <c r="G417" s="5" t="str">
        <f t="shared" si="21"/>
        <v>❌ FAILED: 6.4% - This person has probably not the right Codice Fiscale</v>
      </c>
      <c r="H417" s="6"/>
      <c r="I417" s="5" t="str">
        <f t="shared" si="14"/>
        <v>❌ FAIL - Wrong length (0/16 chars)</v>
      </c>
      <c r="J417" s="5" t="e">
        <f>_xlfn.LET(
  _xlpm.cf, UPPER(E417),
  _xlpm.data, D417,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17" s="5" t="e">
        <f t="shared" si="22"/>
        <v>#VALUE!</v>
      </c>
      <c r="L417" s="5" t="str">
        <f t="shared" si="23"/>
        <v xml:space="preserve">❌ FAIL - 8/50 points (1/6) - Expected: XXXXX, Found: </v>
      </c>
      <c r="M417" s="5" t="s">
        <v>24</v>
      </c>
      <c r="N417" s="5" t="s">
        <v>28</v>
      </c>
    </row>
    <row r="418" spans="1:14" ht="13">
      <c r="A418" s="5"/>
      <c r="B418" s="5"/>
      <c r="C418" s="5"/>
      <c r="D418" s="5"/>
      <c r="E418" s="5"/>
      <c r="G418" s="5" t="str">
        <f t="shared" si="21"/>
        <v>❌ FAILED: 6.4% - This person has probably not the right Codice Fiscale</v>
      </c>
      <c r="H418" s="6"/>
      <c r="I418" s="5" t="str">
        <f t="shared" si="14"/>
        <v>❌ FAIL - Wrong length (0/16 chars)</v>
      </c>
      <c r="J418" s="5" t="e">
        <f>_xlfn.LET(
  _xlpm.cf, UPPER(E418),
  _xlpm.data, D418,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18" s="5" t="e">
        <f t="shared" si="22"/>
        <v>#VALUE!</v>
      </c>
      <c r="L418" s="5" t="str">
        <f t="shared" si="23"/>
        <v xml:space="preserve">❌ FAIL - 8/50 points (1/6) - Expected: XXXXX, Found: </v>
      </c>
      <c r="M418" s="5" t="s">
        <v>24</v>
      </c>
      <c r="N418" s="5" t="s">
        <v>28</v>
      </c>
    </row>
    <row r="419" spans="1:14" ht="13">
      <c r="A419" s="5"/>
      <c r="B419" s="5"/>
      <c r="C419" s="5"/>
      <c r="D419" s="5"/>
      <c r="E419" s="5"/>
      <c r="G419" s="5" t="str">
        <f t="shared" si="21"/>
        <v>❌ FAILED: 6.4% - This person has probably not the right Codice Fiscale</v>
      </c>
      <c r="H419" s="6"/>
      <c r="I419" s="5" t="str">
        <f t="shared" si="14"/>
        <v>❌ FAIL - Wrong length (0/16 chars)</v>
      </c>
      <c r="J419" s="5" t="e">
        <f>_xlfn.LET(
  _xlpm.cf, UPPER(E419),
  _xlpm.data, D419,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19" s="5" t="e">
        <f t="shared" si="22"/>
        <v>#VALUE!</v>
      </c>
      <c r="L419" s="5" t="str">
        <f t="shared" si="23"/>
        <v xml:space="preserve">❌ FAIL - 8/50 points (1/6) - Expected: XXXXX, Found: </v>
      </c>
      <c r="M419" s="5" t="s">
        <v>24</v>
      </c>
      <c r="N419" s="5" t="s">
        <v>28</v>
      </c>
    </row>
    <row r="420" spans="1:14" ht="13">
      <c r="A420" s="5"/>
      <c r="B420" s="5"/>
      <c r="C420" s="5"/>
      <c r="D420" s="5"/>
      <c r="E420" s="5"/>
      <c r="G420" s="5" t="str">
        <f t="shared" si="21"/>
        <v>❌ FAILED: 6.4% - This person has probably not the right Codice Fiscale</v>
      </c>
      <c r="H420" s="6"/>
      <c r="I420" s="5" t="str">
        <f t="shared" si="14"/>
        <v>❌ FAIL - Wrong length (0/16 chars)</v>
      </c>
      <c r="J420" s="5" t="e">
        <f>_xlfn.LET(
  _xlpm.cf, UPPER(E420),
  _xlpm.data, D420,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20" s="5" t="e">
        <f t="shared" si="22"/>
        <v>#VALUE!</v>
      </c>
      <c r="L420" s="5" t="str">
        <f t="shared" si="23"/>
        <v xml:space="preserve">❌ FAIL - 8/50 points (1/6) - Expected: XXXXX, Found: </v>
      </c>
      <c r="M420" s="5" t="s">
        <v>24</v>
      </c>
      <c r="N420" s="5" t="s">
        <v>28</v>
      </c>
    </row>
    <row r="421" spans="1:14" ht="13">
      <c r="A421" s="5"/>
      <c r="B421" s="5"/>
      <c r="C421" s="5"/>
      <c r="D421" s="5"/>
      <c r="E421" s="5"/>
      <c r="G421" s="5" t="str">
        <f t="shared" si="21"/>
        <v>❌ FAILED: 6.4% - This person has probably not the right Codice Fiscale</v>
      </c>
      <c r="H421" s="6"/>
      <c r="I421" s="5" t="str">
        <f t="shared" si="14"/>
        <v>❌ FAIL - Wrong length (0/16 chars)</v>
      </c>
      <c r="J421" s="5" t="e">
        <f>_xlfn.LET(
  _xlpm.cf, UPPER(E421),
  _xlpm.data, D421,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21" s="5" t="e">
        <f t="shared" si="22"/>
        <v>#VALUE!</v>
      </c>
      <c r="L421" s="5" t="str">
        <f t="shared" si="23"/>
        <v xml:space="preserve">❌ FAIL - 8/50 points (1/6) - Expected: XXXXX, Found: </v>
      </c>
      <c r="M421" s="5" t="s">
        <v>24</v>
      </c>
      <c r="N421" s="5" t="s">
        <v>28</v>
      </c>
    </row>
    <row r="422" spans="1:14" ht="13">
      <c r="A422" s="5"/>
      <c r="B422" s="5"/>
      <c r="C422" s="5"/>
      <c r="D422" s="5"/>
      <c r="E422" s="5"/>
      <c r="G422" s="5" t="str">
        <f t="shared" si="21"/>
        <v>❌ FAILED: 6.4% - This person has probably not the right Codice Fiscale</v>
      </c>
      <c r="H422" s="6"/>
      <c r="I422" s="5" t="str">
        <f t="shared" si="14"/>
        <v>❌ FAIL - Wrong length (0/16 chars)</v>
      </c>
      <c r="J422" s="5" t="e">
        <f>_xlfn.LET(
  _xlpm.cf, UPPER(E422),
  _xlpm.data, D422,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22" s="5" t="e">
        <f t="shared" si="22"/>
        <v>#VALUE!</v>
      </c>
      <c r="L422" s="5" t="str">
        <f t="shared" si="23"/>
        <v xml:space="preserve">❌ FAIL - 8/50 points (1/6) - Expected: XXXXX, Found: </v>
      </c>
      <c r="M422" s="5" t="s">
        <v>24</v>
      </c>
      <c r="N422" s="5" t="s">
        <v>28</v>
      </c>
    </row>
    <row r="423" spans="1:14" ht="13">
      <c r="A423" s="5"/>
      <c r="B423" s="5"/>
      <c r="C423" s="5"/>
      <c r="D423" s="5"/>
      <c r="E423" s="5"/>
      <c r="G423" s="5" t="str">
        <f t="shared" si="21"/>
        <v>❌ FAILED: 6.4% - This person has probably not the right Codice Fiscale</v>
      </c>
      <c r="H423" s="6"/>
      <c r="I423" s="5" t="str">
        <f t="shared" si="14"/>
        <v>❌ FAIL - Wrong length (0/16 chars)</v>
      </c>
      <c r="J423" s="5" t="e">
        <f>_xlfn.LET(
  _xlpm.cf, UPPER(E423),
  _xlpm.data, D423,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23" s="5" t="e">
        <f t="shared" si="22"/>
        <v>#VALUE!</v>
      </c>
      <c r="L423" s="5" t="str">
        <f t="shared" si="23"/>
        <v xml:space="preserve">❌ FAIL - 8/50 points (1/6) - Expected: XXXXX, Found: </v>
      </c>
      <c r="M423" s="5" t="s">
        <v>24</v>
      </c>
      <c r="N423" s="5" t="s">
        <v>28</v>
      </c>
    </row>
    <row r="424" spans="1:14" ht="13">
      <c r="A424" s="5"/>
      <c r="B424" s="5"/>
      <c r="C424" s="5"/>
      <c r="D424" s="5"/>
      <c r="E424" s="5"/>
      <c r="G424" s="5" t="str">
        <f t="shared" si="21"/>
        <v>❌ FAILED: 6.4% - This person has probably not the right Codice Fiscale</v>
      </c>
      <c r="H424" s="6"/>
      <c r="I424" s="5" t="str">
        <f t="shared" si="14"/>
        <v>❌ FAIL - Wrong length (0/16 chars)</v>
      </c>
      <c r="J424" s="5" t="e">
        <f>_xlfn.LET(
  _xlpm.cf, UPPER(E424),
  _xlpm.data, D424,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24" s="5" t="e">
        <f t="shared" si="22"/>
        <v>#VALUE!</v>
      </c>
      <c r="L424" s="5" t="str">
        <f t="shared" si="23"/>
        <v xml:space="preserve">❌ FAIL - 8/50 points (1/6) - Expected: XXXXX, Found: </v>
      </c>
      <c r="M424" s="5" t="s">
        <v>24</v>
      </c>
      <c r="N424" s="5" t="s">
        <v>28</v>
      </c>
    </row>
    <row r="425" spans="1:14" ht="13">
      <c r="A425" s="5"/>
      <c r="B425" s="5"/>
      <c r="C425" s="5"/>
      <c r="D425" s="5"/>
      <c r="E425" s="5"/>
      <c r="G425" s="5" t="str">
        <f t="shared" si="21"/>
        <v>❌ FAILED: 6.4% - This person has probably not the right Codice Fiscale</v>
      </c>
      <c r="H425" s="6"/>
      <c r="I425" s="5" t="str">
        <f t="shared" si="14"/>
        <v>❌ FAIL - Wrong length (0/16 chars)</v>
      </c>
      <c r="J425" s="5" t="e">
        <f>_xlfn.LET(
  _xlpm.cf, UPPER(E425),
  _xlpm.data, D425,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25" s="5" t="e">
        <f t="shared" si="22"/>
        <v>#VALUE!</v>
      </c>
      <c r="L425" s="5" t="str">
        <f t="shared" si="23"/>
        <v xml:space="preserve">❌ FAIL - 8/50 points (1/6) - Expected: XXXXX, Found: </v>
      </c>
      <c r="M425" s="5" t="s">
        <v>24</v>
      </c>
      <c r="N425" s="5" t="s">
        <v>28</v>
      </c>
    </row>
    <row r="426" spans="1:14" ht="13">
      <c r="A426" s="5"/>
      <c r="B426" s="5"/>
      <c r="C426" s="5"/>
      <c r="D426" s="5"/>
      <c r="E426" s="5"/>
      <c r="G426" s="5" t="str">
        <f t="shared" si="21"/>
        <v>❌ FAILED: 6.4% - This person has probably not the right Codice Fiscale</v>
      </c>
      <c r="H426" s="6"/>
      <c r="I426" s="5" t="str">
        <f t="shared" si="14"/>
        <v>❌ FAIL - Wrong length (0/16 chars)</v>
      </c>
      <c r="J426" s="5" t="e">
        <f>_xlfn.LET(
  _xlpm.cf, UPPER(E426),
  _xlpm.data, D426,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26" s="5" t="e">
        <f t="shared" si="22"/>
        <v>#VALUE!</v>
      </c>
      <c r="L426" s="5" t="str">
        <f t="shared" si="23"/>
        <v xml:space="preserve">❌ FAIL - 8/50 points (1/6) - Expected: XXXXX, Found: </v>
      </c>
      <c r="M426" s="5" t="s">
        <v>24</v>
      </c>
      <c r="N426" s="5" t="s">
        <v>28</v>
      </c>
    </row>
    <row r="427" spans="1:14" ht="13">
      <c r="A427" s="5"/>
      <c r="B427" s="5"/>
      <c r="C427" s="5"/>
      <c r="D427" s="5"/>
      <c r="E427" s="5"/>
      <c r="G427" s="5" t="str">
        <f t="shared" si="21"/>
        <v>❌ FAILED: 6.4% - This person has probably not the right Codice Fiscale</v>
      </c>
      <c r="H427" s="6"/>
      <c r="I427" s="5" t="str">
        <f t="shared" si="14"/>
        <v>❌ FAIL - Wrong length (0/16 chars)</v>
      </c>
      <c r="J427" s="5" t="e">
        <f>_xlfn.LET(
  _xlpm.cf, UPPER(E427),
  _xlpm.data, D427,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27" s="5" t="e">
        <f t="shared" si="22"/>
        <v>#VALUE!</v>
      </c>
      <c r="L427" s="5" t="str">
        <f t="shared" si="23"/>
        <v xml:space="preserve">❌ FAIL - 8/50 points (1/6) - Expected: XXXXX, Found: </v>
      </c>
      <c r="M427" s="5" t="s">
        <v>24</v>
      </c>
      <c r="N427" s="5" t="s">
        <v>28</v>
      </c>
    </row>
    <row r="428" spans="1:14" ht="13">
      <c r="A428" s="5"/>
      <c r="B428" s="5"/>
      <c r="C428" s="5"/>
      <c r="D428" s="5"/>
      <c r="E428" s="5"/>
      <c r="G428" s="5" t="str">
        <f t="shared" si="21"/>
        <v>❌ FAILED: 6.4% - This person has probably not the right Codice Fiscale</v>
      </c>
      <c r="H428" s="6"/>
      <c r="I428" s="5" t="str">
        <f t="shared" si="14"/>
        <v>❌ FAIL - Wrong length (0/16 chars)</v>
      </c>
      <c r="J428" s="5" t="e">
        <f>_xlfn.LET(
  _xlpm.cf, UPPER(E428),
  _xlpm.data, D428,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28" s="5" t="e">
        <f t="shared" si="22"/>
        <v>#VALUE!</v>
      </c>
      <c r="L428" s="5" t="str">
        <f t="shared" si="23"/>
        <v xml:space="preserve">❌ FAIL - 8/50 points (1/6) - Expected: XXXXX, Found: </v>
      </c>
      <c r="M428" s="5" t="s">
        <v>24</v>
      </c>
      <c r="N428" s="5" t="s">
        <v>28</v>
      </c>
    </row>
    <row r="429" spans="1:14" ht="13">
      <c r="A429" s="5"/>
      <c r="B429" s="5"/>
      <c r="C429" s="5"/>
      <c r="D429" s="5"/>
      <c r="E429" s="5"/>
      <c r="G429" s="5" t="str">
        <f t="shared" si="21"/>
        <v>❌ FAILED: 6.4% - This person has probably not the right Codice Fiscale</v>
      </c>
      <c r="H429" s="6"/>
      <c r="I429" s="5" t="str">
        <f t="shared" si="14"/>
        <v>❌ FAIL - Wrong length (0/16 chars)</v>
      </c>
      <c r="J429" s="5" t="e">
        <f>_xlfn.LET(
  _xlpm.cf, UPPER(E429),
  _xlpm.data, D429,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29" s="5" t="e">
        <f t="shared" si="22"/>
        <v>#VALUE!</v>
      </c>
      <c r="L429" s="5" t="str">
        <f t="shared" si="23"/>
        <v xml:space="preserve">❌ FAIL - 8/50 points (1/6) - Expected: XXXXX, Found: </v>
      </c>
      <c r="M429" s="5" t="s">
        <v>24</v>
      </c>
      <c r="N429" s="5" t="s">
        <v>28</v>
      </c>
    </row>
    <row r="430" spans="1:14" ht="13">
      <c r="A430" s="5"/>
      <c r="B430" s="5"/>
      <c r="C430" s="5"/>
      <c r="D430" s="5"/>
      <c r="E430" s="5"/>
      <c r="G430" s="5" t="str">
        <f t="shared" si="21"/>
        <v>❌ FAILED: 6.4% - This person has probably not the right Codice Fiscale</v>
      </c>
      <c r="H430" s="6"/>
      <c r="I430" s="5" t="str">
        <f t="shared" si="14"/>
        <v>❌ FAIL - Wrong length (0/16 chars)</v>
      </c>
      <c r="J430" s="5" t="e">
        <f>_xlfn.LET(
  _xlpm.cf, UPPER(E430),
  _xlpm.data, D430,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30" s="5" t="e">
        <f t="shared" si="22"/>
        <v>#VALUE!</v>
      </c>
      <c r="L430" s="5" t="str">
        <f t="shared" si="23"/>
        <v xml:space="preserve">❌ FAIL - 8/50 points (1/6) - Expected: XXXXX, Found: </v>
      </c>
      <c r="M430" s="5" t="s">
        <v>24</v>
      </c>
      <c r="N430" s="5" t="s">
        <v>28</v>
      </c>
    </row>
    <row r="431" spans="1:14" ht="13">
      <c r="A431" s="5"/>
      <c r="B431" s="5"/>
      <c r="C431" s="5"/>
      <c r="D431" s="5"/>
      <c r="E431" s="5"/>
      <c r="G431" s="5" t="str">
        <f t="shared" si="21"/>
        <v>❌ FAILED: 6.4% - This person has probably not the right Codice Fiscale</v>
      </c>
      <c r="H431" s="6"/>
      <c r="I431" s="5" t="str">
        <f t="shared" si="14"/>
        <v>❌ FAIL - Wrong length (0/16 chars)</v>
      </c>
      <c r="J431" s="5" t="e">
        <f>_xlfn.LET(
  _xlpm.cf, UPPER(E431),
  _xlpm.data, D431,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31" s="5" t="e">
        <f t="shared" si="22"/>
        <v>#VALUE!</v>
      </c>
      <c r="L431" s="5" t="str">
        <f t="shared" si="23"/>
        <v xml:space="preserve">❌ FAIL - 8/50 points (1/6) - Expected: XXXXX, Found: </v>
      </c>
      <c r="M431" s="5" t="s">
        <v>24</v>
      </c>
      <c r="N431" s="5" t="s">
        <v>28</v>
      </c>
    </row>
    <row r="432" spans="1:14" ht="13">
      <c r="A432" s="5"/>
      <c r="B432" s="5"/>
      <c r="C432" s="5"/>
      <c r="D432" s="5"/>
      <c r="E432" s="5"/>
      <c r="G432" s="5" t="str">
        <f t="shared" si="21"/>
        <v>❌ FAILED: 6.4% - This person has probably not the right Codice Fiscale</v>
      </c>
      <c r="H432" s="6"/>
      <c r="I432" s="5" t="str">
        <f t="shared" si="14"/>
        <v>❌ FAIL - Wrong length (0/16 chars)</v>
      </c>
      <c r="J432" s="5" t="e">
        <f>_xlfn.LET(
  _xlpm.cf, UPPER(E432),
  _xlpm.data, D432,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32" s="5" t="e">
        <f t="shared" si="22"/>
        <v>#VALUE!</v>
      </c>
      <c r="L432" s="5" t="str">
        <f t="shared" si="23"/>
        <v xml:space="preserve">❌ FAIL - 8/50 points (1/6) - Expected: XXXXX, Found: </v>
      </c>
      <c r="M432" s="5" t="s">
        <v>24</v>
      </c>
      <c r="N432" s="5" t="s">
        <v>28</v>
      </c>
    </row>
    <row r="433" spans="1:14" ht="13">
      <c r="A433" s="5"/>
      <c r="B433" s="5"/>
      <c r="C433" s="5"/>
      <c r="D433" s="5"/>
      <c r="E433" s="5"/>
      <c r="G433" s="5" t="str">
        <f t="shared" si="21"/>
        <v>❌ FAILED: 6.4% - This person has probably not the right Codice Fiscale</v>
      </c>
      <c r="H433" s="6"/>
      <c r="I433" s="5" t="str">
        <f t="shared" si="14"/>
        <v>❌ FAIL - Wrong length (0/16 chars)</v>
      </c>
      <c r="J433" s="5" t="e">
        <f>_xlfn.LET(
  _xlpm.cf, UPPER(E433),
  _xlpm.data, D433,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33" s="5" t="e">
        <f t="shared" si="22"/>
        <v>#VALUE!</v>
      </c>
      <c r="L433" s="5" t="str">
        <f t="shared" si="23"/>
        <v xml:space="preserve">❌ FAIL - 8/50 points (1/6) - Expected: XXXXX, Found: </v>
      </c>
      <c r="M433" s="5" t="s">
        <v>24</v>
      </c>
      <c r="N433" s="5" t="s">
        <v>28</v>
      </c>
    </row>
    <row r="434" spans="1:14" ht="13">
      <c r="A434" s="5"/>
      <c r="B434" s="5"/>
      <c r="C434" s="5"/>
      <c r="D434" s="5"/>
      <c r="E434" s="5"/>
      <c r="G434" s="5" t="str">
        <f t="shared" si="21"/>
        <v>❌ FAILED: 6.4% - This person has probably not the right Codice Fiscale</v>
      </c>
      <c r="H434" s="6"/>
      <c r="I434" s="5" t="str">
        <f t="shared" si="14"/>
        <v>❌ FAIL - Wrong length (0/16 chars)</v>
      </c>
      <c r="J434" s="5" t="e">
        <f>_xlfn.LET(
  _xlpm.cf, UPPER(E434),
  _xlpm.data, D434,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34" s="5" t="e">
        <f t="shared" si="22"/>
        <v>#VALUE!</v>
      </c>
      <c r="L434" s="5" t="str">
        <f t="shared" si="23"/>
        <v xml:space="preserve">❌ FAIL - 8/50 points (1/6) - Expected: XXXXX, Found: </v>
      </c>
      <c r="M434" s="5" t="s">
        <v>24</v>
      </c>
      <c r="N434" s="5" t="s">
        <v>28</v>
      </c>
    </row>
    <row r="435" spans="1:14" ht="13">
      <c r="A435" s="5"/>
      <c r="B435" s="5"/>
      <c r="C435" s="5"/>
      <c r="D435" s="5"/>
      <c r="E435" s="5"/>
      <c r="G435" s="5" t="str">
        <f t="shared" si="21"/>
        <v>❌ FAILED: 6.4% - This person has probably not the right Codice Fiscale</v>
      </c>
      <c r="H435" s="6"/>
      <c r="I435" s="5" t="str">
        <f t="shared" si="14"/>
        <v>❌ FAIL - Wrong length (0/16 chars)</v>
      </c>
      <c r="J435" s="5" t="e">
        <f>_xlfn.LET(
  _xlpm.cf, UPPER(E435),
  _xlpm.data, D435,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35" s="5" t="e">
        <f t="shared" si="22"/>
        <v>#VALUE!</v>
      </c>
      <c r="L435" s="5" t="str">
        <f t="shared" si="23"/>
        <v xml:space="preserve">❌ FAIL - 8/50 points (1/6) - Expected: XXXXX, Found: </v>
      </c>
      <c r="M435" s="5" t="s">
        <v>24</v>
      </c>
      <c r="N435" s="5" t="s">
        <v>28</v>
      </c>
    </row>
    <row r="436" spans="1:14" ht="13">
      <c r="A436" s="5"/>
      <c r="B436" s="5"/>
      <c r="C436" s="5"/>
      <c r="D436" s="5"/>
      <c r="E436" s="5"/>
      <c r="G436" s="5" t="str">
        <f t="shared" si="21"/>
        <v>❌ FAILED: 6.4% - This person has probably not the right Codice Fiscale</v>
      </c>
      <c r="H436" s="6"/>
      <c r="I436" s="5" t="str">
        <f t="shared" si="14"/>
        <v>❌ FAIL - Wrong length (0/16 chars)</v>
      </c>
      <c r="J436" s="5" t="e">
        <f>_xlfn.LET(
  _xlpm.cf, UPPER(E436),
  _xlpm.data, D436,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36" s="5" t="e">
        <f t="shared" si="22"/>
        <v>#VALUE!</v>
      </c>
      <c r="L436" s="5" t="str">
        <f t="shared" si="23"/>
        <v xml:space="preserve">❌ FAIL - 8/50 points (1/6) - Expected: XXXXX, Found: </v>
      </c>
      <c r="M436" s="5" t="s">
        <v>24</v>
      </c>
      <c r="N436" s="5" t="s">
        <v>28</v>
      </c>
    </row>
    <row r="437" spans="1:14" ht="13">
      <c r="A437" s="5"/>
      <c r="B437" s="5"/>
      <c r="C437" s="5"/>
      <c r="D437" s="5"/>
      <c r="E437" s="5"/>
      <c r="G437" s="5" t="str">
        <f t="shared" si="21"/>
        <v>❌ FAILED: 6.4% - This person has probably not the right Codice Fiscale</v>
      </c>
      <c r="H437" s="6"/>
      <c r="I437" s="5" t="str">
        <f t="shared" si="14"/>
        <v>❌ FAIL - Wrong length (0/16 chars)</v>
      </c>
      <c r="J437" s="5" t="e">
        <f>_xlfn.LET(
  _xlpm.cf, UPPER(E437),
  _xlpm.data, D437,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37" s="5" t="e">
        <f t="shared" si="22"/>
        <v>#VALUE!</v>
      </c>
      <c r="L437" s="5" t="str">
        <f t="shared" si="23"/>
        <v xml:space="preserve">❌ FAIL - 8/50 points (1/6) - Expected: XXXXX, Found: </v>
      </c>
      <c r="M437" s="5" t="s">
        <v>24</v>
      </c>
      <c r="N437" s="5" t="s">
        <v>28</v>
      </c>
    </row>
    <row r="438" spans="1:14" ht="13">
      <c r="A438" s="5"/>
      <c r="B438" s="5"/>
      <c r="C438" s="5"/>
      <c r="D438" s="5"/>
      <c r="E438" s="5"/>
      <c r="G438" s="5" t="str">
        <f t="shared" si="21"/>
        <v>❌ FAILED: 6.4% - This person has probably not the right Codice Fiscale</v>
      </c>
      <c r="H438" s="6"/>
      <c r="I438" s="5" t="str">
        <f t="shared" si="14"/>
        <v>❌ FAIL - Wrong length (0/16 chars)</v>
      </c>
      <c r="J438" s="5" t="e">
        <f>_xlfn.LET(
  _xlpm.cf, UPPER(E438),
  _xlpm.data, D438,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38" s="5" t="e">
        <f t="shared" si="22"/>
        <v>#VALUE!</v>
      </c>
      <c r="L438" s="5" t="str">
        <f t="shared" si="23"/>
        <v xml:space="preserve">❌ FAIL - 8/50 points (1/6) - Expected: XXXXX, Found: </v>
      </c>
      <c r="M438" s="5" t="s">
        <v>24</v>
      </c>
      <c r="N438" s="5" t="s">
        <v>28</v>
      </c>
    </row>
    <row r="439" spans="1:14" ht="13">
      <c r="A439" s="5"/>
      <c r="B439" s="5"/>
      <c r="C439" s="5"/>
      <c r="D439" s="5"/>
      <c r="E439" s="5"/>
      <c r="G439" s="5" t="str">
        <f t="shared" si="21"/>
        <v>❌ FAILED: 6.4% - This person has probably not the right Codice Fiscale</v>
      </c>
      <c r="H439" s="6"/>
      <c r="I439" s="5" t="str">
        <f t="shared" si="14"/>
        <v>❌ FAIL - Wrong length (0/16 chars)</v>
      </c>
      <c r="J439" s="5" t="e">
        <f>_xlfn.LET(
  _xlpm.cf, UPPER(E439),
  _xlpm.data, D439,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39" s="5" t="e">
        <f t="shared" si="22"/>
        <v>#VALUE!</v>
      </c>
      <c r="L439" s="5" t="str">
        <f t="shared" si="23"/>
        <v xml:space="preserve">❌ FAIL - 8/50 points (1/6) - Expected: XXXXX, Found: </v>
      </c>
      <c r="M439" s="5" t="s">
        <v>24</v>
      </c>
      <c r="N439" s="5" t="s">
        <v>28</v>
      </c>
    </row>
    <row r="440" spans="1:14" ht="13">
      <c r="A440" s="5"/>
      <c r="B440" s="5"/>
      <c r="C440" s="5"/>
      <c r="D440" s="5"/>
      <c r="E440" s="5"/>
      <c r="G440" s="5" t="str">
        <f t="shared" si="21"/>
        <v>❌ FAILED: 6.4% - This person has probably not the right Codice Fiscale</v>
      </c>
      <c r="H440" s="6"/>
      <c r="I440" s="5" t="str">
        <f t="shared" si="14"/>
        <v>❌ FAIL - Wrong length (0/16 chars)</v>
      </c>
      <c r="J440" s="5" t="e">
        <f>_xlfn.LET(
  _xlpm.cf, UPPER(E440),
  _xlpm.data, D440,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40" s="5" t="e">
        <f t="shared" si="22"/>
        <v>#VALUE!</v>
      </c>
      <c r="L440" s="5" t="str">
        <f t="shared" si="23"/>
        <v xml:space="preserve">❌ FAIL - 8/50 points (1/6) - Expected: XXXXX, Found: </v>
      </c>
      <c r="M440" s="5" t="s">
        <v>24</v>
      </c>
      <c r="N440" s="5" t="s">
        <v>28</v>
      </c>
    </row>
    <row r="441" spans="1:14" ht="13">
      <c r="A441" s="5"/>
      <c r="B441" s="5"/>
      <c r="C441" s="5"/>
      <c r="D441" s="5"/>
      <c r="E441" s="5"/>
      <c r="G441" s="5" t="str">
        <f t="shared" si="21"/>
        <v>❌ FAILED: 6.4% - This person has probably not the right Codice Fiscale</v>
      </c>
      <c r="H441" s="6"/>
      <c r="I441" s="5" t="str">
        <f t="shared" si="14"/>
        <v>❌ FAIL - Wrong length (0/16 chars)</v>
      </c>
      <c r="J441" s="5" t="e">
        <f>_xlfn.LET(
  _xlpm.cf, UPPER(E441),
  _xlpm.data, D441,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41" s="5" t="e">
        <f t="shared" si="22"/>
        <v>#VALUE!</v>
      </c>
      <c r="L441" s="5" t="str">
        <f t="shared" si="23"/>
        <v xml:space="preserve">❌ FAIL - 8/50 points (1/6) - Expected: XXXXX, Found: </v>
      </c>
      <c r="M441" s="5" t="s">
        <v>24</v>
      </c>
      <c r="N441" s="5" t="s">
        <v>28</v>
      </c>
    </row>
    <row r="442" spans="1:14" ht="13">
      <c r="A442" s="5"/>
      <c r="B442" s="5"/>
      <c r="C442" s="5"/>
      <c r="D442" s="5"/>
      <c r="E442" s="5"/>
      <c r="G442" s="5" t="str">
        <f t="shared" si="21"/>
        <v>❌ FAILED: 6.4% - This person has probably not the right Codice Fiscale</v>
      </c>
      <c r="H442" s="6"/>
      <c r="I442" s="5" t="str">
        <f t="shared" si="14"/>
        <v>❌ FAIL - Wrong length (0/16 chars)</v>
      </c>
      <c r="J442" s="5" t="e">
        <f>_xlfn.LET(
  _xlpm.cf, UPPER(E442),
  _xlpm.data, D442,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42" s="5" t="e">
        <f t="shared" si="22"/>
        <v>#VALUE!</v>
      </c>
      <c r="L442" s="5" t="str">
        <f t="shared" si="23"/>
        <v xml:space="preserve">❌ FAIL - 8/50 points (1/6) - Expected: XXXXX, Found: </v>
      </c>
      <c r="M442" s="5" t="s">
        <v>24</v>
      </c>
      <c r="N442" s="5" t="s">
        <v>28</v>
      </c>
    </row>
    <row r="443" spans="1:14" ht="13">
      <c r="A443" s="5"/>
      <c r="B443" s="5"/>
      <c r="C443" s="5"/>
      <c r="D443" s="5"/>
      <c r="E443" s="5"/>
      <c r="G443" s="5" t="str">
        <f t="shared" si="21"/>
        <v>❌ FAILED: 6.4% - This person has probably not the right Codice Fiscale</v>
      </c>
      <c r="H443" s="6"/>
      <c r="I443" s="5" t="str">
        <f t="shared" si="14"/>
        <v>❌ FAIL - Wrong length (0/16 chars)</v>
      </c>
      <c r="J443" s="5" t="e">
        <f>_xlfn.LET(
  _xlpm.cf, UPPER(E443),
  _xlpm.data, D443,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43" s="5" t="e">
        <f t="shared" si="22"/>
        <v>#VALUE!</v>
      </c>
      <c r="L443" s="5" t="str">
        <f t="shared" si="23"/>
        <v xml:space="preserve">❌ FAIL - 8/50 points (1/6) - Expected: XXXXX, Found: </v>
      </c>
      <c r="M443" s="5" t="s">
        <v>24</v>
      </c>
      <c r="N443" s="5" t="s">
        <v>28</v>
      </c>
    </row>
    <row r="444" spans="1:14" ht="13">
      <c r="A444" s="5"/>
      <c r="B444" s="5"/>
      <c r="C444" s="5"/>
      <c r="D444" s="5"/>
      <c r="E444" s="5"/>
      <c r="G444" s="5" t="str">
        <f t="shared" si="21"/>
        <v>❌ FAILED: 6.4% - This person has probably not the right Codice Fiscale</v>
      </c>
      <c r="H444" s="6"/>
      <c r="I444" s="5" t="str">
        <f t="shared" si="14"/>
        <v>❌ FAIL - Wrong length (0/16 chars)</v>
      </c>
      <c r="J444" s="5" t="e">
        <f>_xlfn.LET(
  _xlpm.cf, UPPER(E444),
  _xlpm.data, D444,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44" s="5" t="e">
        <f t="shared" si="22"/>
        <v>#VALUE!</v>
      </c>
      <c r="L444" s="5" t="str">
        <f t="shared" si="23"/>
        <v xml:space="preserve">❌ FAIL - 8/50 points (1/6) - Expected: XXXXX, Found: </v>
      </c>
      <c r="M444" s="5" t="s">
        <v>24</v>
      </c>
      <c r="N444" s="5" t="s">
        <v>28</v>
      </c>
    </row>
    <row r="445" spans="1:14" ht="13">
      <c r="A445" s="5"/>
      <c r="B445" s="5"/>
      <c r="C445" s="5"/>
      <c r="D445" s="5"/>
      <c r="E445" s="5"/>
      <c r="G445" s="5" t="str">
        <f t="shared" si="21"/>
        <v>❌ FAILED: 6.4% - This person has probably not the right Codice Fiscale</v>
      </c>
      <c r="H445" s="6"/>
      <c r="I445" s="5" t="str">
        <f t="shared" si="14"/>
        <v>❌ FAIL - Wrong length (0/16 chars)</v>
      </c>
      <c r="J445" s="5" t="e">
        <f>_xlfn.LET(
  _xlpm.cf, UPPER(E445),
  _xlpm.data, D445,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45" s="5" t="e">
        <f t="shared" si="22"/>
        <v>#VALUE!</v>
      </c>
      <c r="L445" s="5" t="str">
        <f t="shared" si="23"/>
        <v xml:space="preserve">❌ FAIL - 8/50 points (1/6) - Expected: XXXXX, Found: </v>
      </c>
      <c r="M445" s="5" t="s">
        <v>24</v>
      </c>
      <c r="N445" s="5" t="s">
        <v>28</v>
      </c>
    </row>
    <row r="446" spans="1:14" ht="13">
      <c r="A446" s="5"/>
      <c r="B446" s="5"/>
      <c r="C446" s="5"/>
      <c r="D446" s="5"/>
      <c r="E446" s="5"/>
      <c r="G446" s="5" t="str">
        <f t="shared" si="21"/>
        <v>❌ FAILED: 6.4% - This person has probably not the right Codice Fiscale</v>
      </c>
      <c r="H446" s="6"/>
      <c r="I446" s="5" t="str">
        <f t="shared" si="14"/>
        <v>❌ FAIL - Wrong length (0/16 chars)</v>
      </c>
      <c r="J446" s="5" t="e">
        <f>_xlfn.LET(
  _xlpm.cf, UPPER(E446),
  _xlpm.data, D446,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46" s="5" t="e">
        <f t="shared" si="22"/>
        <v>#VALUE!</v>
      </c>
      <c r="L446" s="5" t="str">
        <f t="shared" si="23"/>
        <v xml:space="preserve">❌ FAIL - 8/50 points (1/6) - Expected: XXXXX, Found: </v>
      </c>
      <c r="M446" s="5" t="s">
        <v>24</v>
      </c>
      <c r="N446" s="5" t="s">
        <v>28</v>
      </c>
    </row>
    <row r="447" spans="1:14" ht="13">
      <c r="A447" s="5"/>
      <c r="B447" s="5"/>
      <c r="C447" s="5"/>
      <c r="D447" s="5"/>
      <c r="E447" s="5"/>
      <c r="G447" s="5" t="str">
        <f t="shared" si="21"/>
        <v>❌ FAILED: 6.4% - This person has probably not the right Codice Fiscale</v>
      </c>
      <c r="H447" s="6"/>
      <c r="I447" s="5" t="str">
        <f t="shared" si="14"/>
        <v>❌ FAIL - Wrong length (0/16 chars)</v>
      </c>
      <c r="J447" s="5" t="e">
        <f>_xlfn.LET(
  _xlpm.cf, UPPER(E447),
  _xlpm.data, D447,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47" s="5" t="e">
        <f t="shared" si="22"/>
        <v>#VALUE!</v>
      </c>
      <c r="L447" s="5" t="str">
        <f t="shared" si="23"/>
        <v xml:space="preserve">❌ FAIL - 8/50 points (1/6) - Expected: XXXXX, Found: </v>
      </c>
      <c r="M447" s="5" t="s">
        <v>24</v>
      </c>
      <c r="N447" s="5" t="s">
        <v>28</v>
      </c>
    </row>
    <row r="448" spans="1:14" ht="13">
      <c r="A448" s="5"/>
      <c r="B448" s="5"/>
      <c r="C448" s="5"/>
      <c r="D448" s="5"/>
      <c r="E448" s="5"/>
      <c r="G448" s="5" t="str">
        <f t="shared" si="21"/>
        <v>❌ FAILED: 6.4% - This person has probably not the right Codice Fiscale</v>
      </c>
      <c r="H448" s="6"/>
      <c r="I448" s="5" t="str">
        <f t="shared" si="14"/>
        <v>❌ FAIL - Wrong length (0/16 chars)</v>
      </c>
      <c r="J448" s="5" t="e">
        <f>_xlfn.LET(
  _xlpm.cf, UPPER(E448),
  _xlpm.data, D448,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48" s="5" t="e">
        <f t="shared" si="22"/>
        <v>#VALUE!</v>
      </c>
      <c r="L448" s="5" t="str">
        <f t="shared" si="23"/>
        <v xml:space="preserve">❌ FAIL - 8/50 points (1/6) - Expected: XXXXX, Found: </v>
      </c>
      <c r="M448" s="5" t="s">
        <v>24</v>
      </c>
      <c r="N448" s="5" t="s">
        <v>28</v>
      </c>
    </row>
    <row r="449" spans="1:14" ht="13">
      <c r="A449" s="5"/>
      <c r="B449" s="5"/>
      <c r="C449" s="5"/>
      <c r="D449" s="5"/>
      <c r="E449" s="5"/>
      <c r="G449" s="5" t="str">
        <f t="shared" si="21"/>
        <v>❌ FAILED: 6.4% - This person has probably not the right Codice Fiscale</v>
      </c>
      <c r="H449" s="6"/>
      <c r="I449" s="5" t="str">
        <f t="shared" si="14"/>
        <v>❌ FAIL - Wrong length (0/16 chars)</v>
      </c>
      <c r="J449" s="5" t="e">
        <f>_xlfn.LET(
  _xlpm.cf, UPPER(E449),
  _xlpm.data, D449,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49" s="5" t="e">
        <f t="shared" si="22"/>
        <v>#VALUE!</v>
      </c>
      <c r="L449" s="5" t="str">
        <f t="shared" si="23"/>
        <v xml:space="preserve">❌ FAIL - 8/50 points (1/6) - Expected: XXXXX, Found: </v>
      </c>
      <c r="M449" s="5" t="s">
        <v>24</v>
      </c>
      <c r="N449" s="5" t="s">
        <v>28</v>
      </c>
    </row>
    <row r="450" spans="1:14" ht="13">
      <c r="A450" s="5"/>
      <c r="B450" s="5"/>
      <c r="C450" s="5"/>
      <c r="D450" s="5"/>
      <c r="E450" s="5"/>
      <c r="G450" s="5" t="str">
        <f t="shared" si="21"/>
        <v>❌ FAILED: 6.4% - This person has probably not the right Codice Fiscale</v>
      </c>
      <c r="H450" s="6"/>
      <c r="I450" s="5" t="str">
        <f t="shared" si="14"/>
        <v>❌ FAIL - Wrong length (0/16 chars)</v>
      </c>
      <c r="J450" s="5" t="e">
        <f>_xlfn.LET(
  _xlpm.cf, UPPER(E450),
  _xlpm.data, D450,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50" s="5" t="e">
        <f t="shared" si="22"/>
        <v>#VALUE!</v>
      </c>
      <c r="L450" s="5" t="str">
        <f t="shared" si="23"/>
        <v xml:space="preserve">❌ FAIL - 8/50 points (1/6) - Expected: XXXXX, Found: </v>
      </c>
      <c r="M450" s="5" t="s">
        <v>24</v>
      </c>
      <c r="N450" s="5" t="s">
        <v>28</v>
      </c>
    </row>
    <row r="451" spans="1:14" ht="13">
      <c r="A451" s="5"/>
      <c r="B451" s="5"/>
      <c r="C451" s="5"/>
      <c r="D451" s="5"/>
      <c r="E451" s="5"/>
      <c r="G451" s="5" t="str">
        <f t="shared" ref="G451:G511" si="24">_xlfn.LET(
  _xlpm.check1_score, IF(ISNUMBER(SEARCH("✅", I451)), 10, 0),
  _xlpm.check2_score, IF(ISNUMBER(SEARCH("✅", J451)), 20, 0),
  _xlpm.check3_score, IF(ISNUMBER(SEARCH("✅", K451)), 10, 0),
  _xlpm.check4_score, IF(ISNUMBER(SEARCH("50/50", L451)), 40, IF(ISNUMBER(SEARCH("/50", L451)), VALUE(MID(L451, SEARCH("- ", L451) + 2, SEARCH("/50", L451) - SEARCH("- ", L451) - 2)) * 0.8, 0)),
  _xlpm.check5_score, IF(ISNUMBER(SEARCH("✅", M451)), 10, 0),
  _xlpm.check6_score, IF(ISNUMBER(SEARCH("✅", N451)), 10, 0),
  _xlpm.total_score,_xlfn.SINGLE( _xlpm.check1_score) +_xlfn.SINGLE( _xlpm.check2_score) +_xlfn.SINGLE( _xlpm.check3_score) +_xlfn.SINGLE( _xlpm.check4_score) +_xlfn.SINGLE( _xlpm.check5_score) +_xlfn.SINGLE( _xlpm.check6_score),
  _xlpm.failed_checks, 6 - (IF(_xlfn.SINGLE(_xlpm.check1_score)&gt;0,1,0) + IF(_xlfn.SINGLE(_xlpm.check2_score)&gt;0,1,0) + IF(_xlfn.SINGLE(_xlpm.check3_score)&gt;0,1,0) + IF(_xlfn.SINGLE(_xlpm.check4_score)&gt;=20,1,0) + IF(_xlfn.SINGLE(_xlpm.check5_score)&gt;0,1,0) + IF(_xlfn.SINGLE(_xlpm.check6_score)&gt;0,1,0)),
  _xlpm.length_fail,_xlfn.SINGLE( _xlpm.check1_score) = 0,
  IF(_xlfn.SINGLE(_xlpm.total_score) = 100,
    "🎯 PERFECT MATCH: 100% - Codice Fiscale is fully valid",
    IF(_xlfn.SINGLE(_xlpm.total_score) &gt;= 90,
      "✅ EXCELLENT: " &amp;_xlfn.SINGLE( _xlpm.total_score) &amp; "% - Very likely valid, minor verification recommended",
      IF(_xlfn.SINGLE(_xlpm.total_score) &gt;= 75,
        IF(AND(_xlfn.SINGLE(_xlpm.failed_checks) = 1, _xlpm.length_fail),
          "⚠️ SCORE: " &amp;_xlfn.SINGLE( _xlpm.total_score) &amp; "% - Check any typo in Codice Fiscale length (should be 16 characters)",
          "⚠️ SCORE: " &amp;_xlfn.SINGLE( _xlpm.total_score) &amp; "% - Not a perfect match, check for any typo"
        ),
        IF(_xlfn.SINGLE(_xlpm.total_score) &gt;= 50,
          "⚠️ SCORE: " &amp;_xlfn.SINGLE( _xlpm.total_score) &amp; "% - Significant issues detected, verify all data carefully",
          "❌ FAILED: " &amp;_xlfn.SINGLE( _xlpm.total_score) &amp; "% - This person has probably not the right Codice Fiscale"
        )
      )
    )
  )
)</f>
        <v>❌ FAILED: 6.4% - This person has probably not the right Codice Fiscale</v>
      </c>
      <c r="H451" s="6"/>
      <c r="I451" s="5" t="str">
        <f t="shared" si="14"/>
        <v>❌ FAIL - Wrong length (0/16 chars)</v>
      </c>
      <c r="J451" s="5" t="e">
        <f>_xlfn.LET(
  _xlpm.cf, UPPER(E451),
  _xlpm.data, D451,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51" s="5" t="e">
        <f t="shared" ref="K451:K511" si="25">_xlfn.LET(
  _xlpm.cf, UPPER(E451),
  _xlpm.gender_input, UPPER(C451),
  _xlpm.day_cf, VALUE(MID(_xlpm.cf, 10, 2)),
  _xlpm.cf_indicates_female, _xlpm.day_cf &gt; 40,
  _xlpm.input_is_female, _xlpm.gender_input = "FEMALE",
  _xlpm.gender_match, _xlpm.cf_indicates_female = _xlpm.input_is_female,
  IF(
    _xlpm.gender_match,
    "✅ PASS - Gender: " &amp; IF(_xlpm.input_is_female, "Female", "Male") &amp; " (day: " &amp; IF(_xlpm.cf_indicates_female, _xlpm.day_cf-40, _xlpm.day_cf) &amp; ")",
    "❌ FAIL - Gender mismatch: CF indicates " &amp;
      IF(_xlpm.cf_indicates_female, "Female (+40)", "Male") &amp;
      " (day: " &amp; IF(_xlpm.cf_indicates_female, _xlpm.day_cf-40, _xlpm.day_cf) &amp; ") but person is " &amp;
      IF(_xlpm.input_is_female, "Female", "Male")
  )
)</f>
        <v>#VALUE!</v>
      </c>
      <c r="L451" s="5" t="str">
        <f t="shared" si="23"/>
        <v xml:space="preserve">❌ FAIL - 8/50 points (1/6) - Expected: XXXXX, Found: </v>
      </c>
      <c r="M451" s="5" t="s">
        <v>24</v>
      </c>
      <c r="N451" s="5" t="s">
        <v>28</v>
      </c>
    </row>
    <row r="452" spans="1:14" ht="13">
      <c r="A452" s="5"/>
      <c r="B452" s="5"/>
      <c r="C452" s="5"/>
      <c r="D452" s="5"/>
      <c r="E452" s="5"/>
      <c r="G452" s="5" t="str">
        <f t="shared" si="24"/>
        <v>❌ FAILED: 6.4% - This person has probably not the right Codice Fiscale</v>
      </c>
      <c r="H452" s="6"/>
      <c r="I452" s="5" t="str">
        <f t="shared" si="14"/>
        <v>❌ FAIL - Wrong length (0/16 chars)</v>
      </c>
      <c r="J452" s="5" t="e">
        <f>_xlfn.LET(
  _xlpm.cf, UPPER(E452),
  _xlpm.data, D452,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52" s="5" t="e">
        <f t="shared" si="25"/>
        <v>#VALUE!</v>
      </c>
      <c r="L452" s="5" t="str">
        <f t="shared" si="23"/>
        <v xml:space="preserve">❌ FAIL - 8/50 points (1/6) - Expected: XXXXX, Found: </v>
      </c>
      <c r="M452" s="5" t="s">
        <v>24</v>
      </c>
      <c r="N452" s="5" t="s">
        <v>28</v>
      </c>
    </row>
    <row r="453" spans="1:14" ht="13">
      <c r="A453" s="5"/>
      <c r="B453" s="5"/>
      <c r="C453" s="5"/>
      <c r="D453" s="5"/>
      <c r="E453" s="5"/>
      <c r="G453" s="5" t="str">
        <f t="shared" si="24"/>
        <v>❌ FAILED: 6.4% - This person has probably not the right Codice Fiscale</v>
      </c>
      <c r="H453" s="6"/>
      <c r="I453" s="5" t="str">
        <f t="shared" si="14"/>
        <v>❌ FAIL - Wrong length (0/16 chars)</v>
      </c>
      <c r="J453" s="5" t="e">
        <f>_xlfn.LET(
  _xlpm.cf, UPPER(E453),
  _xlpm.data, D453,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53" s="5" t="e">
        <f t="shared" si="25"/>
        <v>#VALUE!</v>
      </c>
      <c r="L453" s="5" t="str">
        <f t="shared" ref="L453:L511" si="26">_xlfn.LET(
  _xlpm.cf_code, LEFT(UPPER(E453), 6),
  _xlpm.surname, UPPER(B453),
  _xlpm.name_clean, SUBSTITUTE(UPPER(A453), " ", ""),
  _xlpm.s_cons, SUBSTITUTE(SUBSTITUTE(SUBSTITUTE(SUBSTITUTE(SUBSTITUTE(_xlfn.SINGLE(_xlpm.surname), "A", ""), "E", ""), "I", ""), "O", ""), "U", ""),
  _xlpm.s_vowels, SUBSTITUTE(SUBSTITUTE(SUBSTITUTE(SUBSTITUTE(SUBSTITUTE(SUBSTITUTE(SUBSTITUTE(SUBSTITUTE(SUBSTITUTE(SUBSTITUTE(SUBSTITUTE(SUBSTITUTE(SUBSTITUTE(SUBSTITUTE(SUBSTITUTE(SUBSTITUTE(SUBSTITUTE(SUBSTITUTE(SUBSTITUTE(SUBSTITUTE(SUBSTITUTE(_xlfn.SINGLE(_xlpm.surname), "B", ""), "C", ""), "D", ""), "F", ""), "G", ""), "H", ""), "J", ""), "K", ""), "L", ""), "M", ""), "N", ""), "P", ""), "Q", ""), "R", ""), "S", ""), "T", ""), "V", ""), "W", ""), "X", ""), "Y", ""), "Z", ""),
  _xlpm.n_cons, SUBSTITUTE(SUBSTITUTE(SUBSTITUTE(SUBSTITUTE(SUBSTITUTE(_xlfn.SINGLE(_xlpm.name_clean), "A", ""), "E", ""), "I", ""), "O", ""), "U", ""),
  _xlpm.n_vowels, SUBSTITUTE(SUBSTITUTE(SUBSTITUTE(SUBSTITUTE(SUBSTITUTE(SUBSTITUTE(SUBSTITUTE(SUBSTITUTE(SUBSTITUTE(SUBSTITUTE(SUBSTITUTE(SUBSTITUTE(SUBSTITUTE(SUBSTITUTE(SUBSTITUTE(SUBSTITUTE(SUBSTITUTE(SUBSTITUTE(SUBSTITUTE(SUBSTITUTE(SUBSTITUTE(_xlfn.SINGLE(_xlpm.name_clean), "B", ""), "C", ""), "D", ""), "F", ""), "G", ""), "H", ""), "J", ""), "K", ""), "L", ""), "M", ""), "N", ""), "P", ""), "Q", ""), "R", ""), "S", ""), "T", ""), "V", ""), "W", ""), "X", ""), "Y", ""), "Z", ""),
  _xlpm.surname_code, IF(LEN(_xlfn.SINGLE(_xlpm.s_cons)) &gt;= 3, LEFT(_xlfn.SINGLE(_xlpm.s_cons), 3), IF(LEN(_xlfn.SINGLE(_xlpm.s_cons)) = 2,_xlfn.SINGLE( _xlpm.s_cons) &amp; LEFT(_xlfn.SINGLE(_xlpm.s_vowels), 1), IF(LEN(_xlfn.SINGLE(_xlpm.s_cons)) = 1, LEFT(_xlfn.SINGLE(_xlpm.s_cons) &amp;_xlfn.SINGLE( _xlpm.s_vowels) &amp; "XX", 3), LEFT(_xlfn.SINGLE(_xlpm.s_vowels) &amp; "XX", 3)))),
  _xlpm.name_code, IF(LEN(_xlfn.SINGLE(_xlpm.n_cons)) &gt;= 4,
    MID(_xlfn.SINGLE(_xlpm.n_cons),1,1) &amp; MID(_xlfn.SINGLE(_xlpm.n_cons),3,1) &amp; MID(_xlfn.SINGLE(_xlpm.n_cons),4,1),
    IF(LEN(_xlfn.SINGLE(_xlpm.n_cons)) = 3,
      LEFT(_xlfn.SINGLE(_xlpm.n_cons), 3),
      LEFT(_xlfn.SINGLE(_xlpm.n_cons) &amp;_xlfn.SINGLE( _xlpm.n_vowels) &amp; "XXX", 3)
    )
  ),
  _xlpm.expected,_xlfn.SINGLE( _xlpm.surname_code) &amp;_xlfn.SINGLE( _xlpm.name_code),
  _xlpm.matches, (IF(MID(_xlfn.SINGLE(_xlpm.expected),1,1)=MID(_xlfn.SINGLE(_xlpm.cf_code),1,1),1,0))+(IF(MID(_xlfn.SINGLE(_xlpm.expected),2,1)=MID(_xlfn.SINGLE(_xlpm.cf_code),2,1),1,0))+(IF(MID(_xlfn.SINGLE(_xlpm.expected),3,1)=MID(_xlfn.SINGLE(_xlpm.cf_code),3,1),1,0))+(IF(MID(_xlfn.SINGLE(_xlpm.expected),4,1)=MID(_xlfn.SINGLE(_xlpm.cf_code),4,1),1,0))+(IF(MID(_xlfn.SINGLE(_xlpm.expected),5,1)=MID(_xlfn.SINGLE(_xlpm.cf_code),5,1),1,0))+(IF(MID(_xlfn.SINGLE(_xlpm.expected),6,1)=MID(_xlfn.SINGLE(_xlpm.cf_code),6,1),1,0)),
  IF(_xlfn.SINGLE(_xlpm.matches)=6, "✅ PASS - 50/50 points", "❌ FAIL - " &amp; ROUND(_xlfn.SINGLE(_xlpm.matches)/6*50,0) &amp; "/50 points (" &amp;_xlfn.SINGLE( _xlpm.matches) &amp; "/6) - Expected: " &amp;_xlfn.SINGLE( _xlpm.expected) &amp; ", Found: " &amp;_xlfn.SINGLE( _xlpm.cf_code))
)</f>
        <v xml:space="preserve">❌ FAIL - 8/50 points (1/6) - Expected: XXXXX, Found: </v>
      </c>
      <c r="M453" s="5" t="s">
        <v>24</v>
      </c>
      <c r="N453" s="5" t="s">
        <v>28</v>
      </c>
    </row>
    <row r="454" spans="1:14" ht="13">
      <c r="A454" s="5"/>
      <c r="B454" s="5"/>
      <c r="C454" s="5"/>
      <c r="D454" s="5"/>
      <c r="E454" s="5"/>
      <c r="G454" s="5" t="str">
        <f t="shared" si="24"/>
        <v>❌ FAILED: 6.4% - This person has probably not the right Codice Fiscale</v>
      </c>
      <c r="H454" s="6"/>
      <c r="I454" s="5" t="str">
        <f t="shared" si="14"/>
        <v>❌ FAIL - Wrong length (0/16 chars)</v>
      </c>
      <c r="J454" s="5" t="e">
        <f>_xlfn.LET(
  _xlpm.cf, UPPER(E454),
  _xlpm.data, D454,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54" s="5" t="e">
        <f t="shared" si="25"/>
        <v>#VALUE!</v>
      </c>
      <c r="L454" s="5" t="str">
        <f t="shared" si="26"/>
        <v xml:space="preserve">❌ FAIL - 8/50 points (1/6) - Expected: XXXXX, Found: </v>
      </c>
      <c r="M454" s="5" t="s">
        <v>24</v>
      </c>
      <c r="N454" s="5" t="s">
        <v>28</v>
      </c>
    </row>
    <row r="455" spans="1:14" ht="13">
      <c r="A455" s="5"/>
      <c r="B455" s="5"/>
      <c r="C455" s="5"/>
      <c r="D455" s="5"/>
      <c r="E455" s="5"/>
      <c r="G455" s="5" t="str">
        <f t="shared" si="24"/>
        <v>❌ FAILED: 6.4% - This person has probably not the right Codice Fiscale</v>
      </c>
      <c r="H455" s="6"/>
      <c r="I455" s="5" t="str">
        <f t="shared" si="14"/>
        <v>❌ FAIL - Wrong length (0/16 chars)</v>
      </c>
      <c r="J455" s="5" t="e">
        <f>_xlfn.LET(
  _xlpm.cf, UPPER(E455),
  _xlpm.data, D455,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55" s="5" t="e">
        <f t="shared" si="25"/>
        <v>#VALUE!</v>
      </c>
      <c r="L455" s="5" t="str">
        <f t="shared" si="26"/>
        <v xml:space="preserve">❌ FAIL - 8/50 points (1/6) - Expected: XXXXX, Found: </v>
      </c>
      <c r="M455" s="5" t="s">
        <v>24</v>
      </c>
      <c r="N455" s="5" t="s">
        <v>28</v>
      </c>
    </row>
    <row r="456" spans="1:14" ht="13">
      <c r="A456" s="5"/>
      <c r="B456" s="5"/>
      <c r="C456" s="5"/>
      <c r="D456" s="5"/>
      <c r="E456" s="5"/>
      <c r="G456" s="5" t="str">
        <f t="shared" si="24"/>
        <v>❌ FAILED: 6.4% - This person has probably not the right Codice Fiscale</v>
      </c>
      <c r="H456" s="6"/>
      <c r="I456" s="5" t="str">
        <f t="shared" si="14"/>
        <v>❌ FAIL - Wrong length (0/16 chars)</v>
      </c>
      <c r="J456" s="5" t="e">
        <f>_xlfn.LET(
  _xlpm.cf, UPPER(E456),
  _xlpm.data, D456,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56" s="5" t="e">
        <f t="shared" si="25"/>
        <v>#VALUE!</v>
      </c>
      <c r="L456" s="5" t="str">
        <f t="shared" si="26"/>
        <v xml:space="preserve">❌ FAIL - 8/50 points (1/6) - Expected: XXXXX, Found: </v>
      </c>
      <c r="M456" s="5" t="s">
        <v>24</v>
      </c>
      <c r="N456" s="5" t="s">
        <v>28</v>
      </c>
    </row>
    <row r="457" spans="1:14" ht="13">
      <c r="A457" s="5"/>
      <c r="B457" s="5"/>
      <c r="C457" s="5"/>
      <c r="D457" s="5"/>
      <c r="E457" s="5"/>
      <c r="G457" s="5" t="str">
        <f t="shared" si="24"/>
        <v>❌ FAILED: 6.4% - This person has probably not the right Codice Fiscale</v>
      </c>
      <c r="H457" s="6"/>
      <c r="I457" s="5" t="str">
        <f t="shared" si="14"/>
        <v>❌ FAIL - Wrong length (0/16 chars)</v>
      </c>
      <c r="J457" s="5" t="e">
        <f>_xlfn.LET(
  _xlpm.cf, UPPER(E457),
  _xlpm.data, D457,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57" s="5" t="e">
        <f t="shared" si="25"/>
        <v>#VALUE!</v>
      </c>
      <c r="L457" s="5" t="str">
        <f t="shared" si="26"/>
        <v xml:space="preserve">❌ FAIL - 8/50 points (1/6) - Expected: XXXXX, Found: </v>
      </c>
      <c r="M457" s="5" t="s">
        <v>24</v>
      </c>
      <c r="N457" s="5" t="s">
        <v>28</v>
      </c>
    </row>
    <row r="458" spans="1:14" ht="13">
      <c r="A458" s="5"/>
      <c r="B458" s="5"/>
      <c r="C458" s="5"/>
      <c r="D458" s="5"/>
      <c r="E458" s="5"/>
      <c r="G458" s="5" t="str">
        <f t="shared" si="24"/>
        <v>❌ FAILED: 6.4% - This person has probably not the right Codice Fiscale</v>
      </c>
      <c r="H458" s="6"/>
      <c r="I458" s="5" t="str">
        <f t="shared" si="14"/>
        <v>❌ FAIL - Wrong length (0/16 chars)</v>
      </c>
      <c r="J458" s="5" t="e">
        <f>_xlfn.LET(
  _xlpm.cf, UPPER(E458),
  _xlpm.data, D458,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58" s="5" t="e">
        <f t="shared" si="25"/>
        <v>#VALUE!</v>
      </c>
      <c r="L458" s="5" t="str">
        <f t="shared" si="26"/>
        <v xml:space="preserve">❌ FAIL - 8/50 points (1/6) - Expected: XXXXX, Found: </v>
      </c>
      <c r="M458" s="5" t="s">
        <v>24</v>
      </c>
      <c r="N458" s="5" t="s">
        <v>28</v>
      </c>
    </row>
    <row r="459" spans="1:14" ht="13">
      <c r="A459" s="5"/>
      <c r="B459" s="5"/>
      <c r="C459" s="5"/>
      <c r="D459" s="5"/>
      <c r="E459" s="5"/>
      <c r="G459" s="5" t="str">
        <f t="shared" si="24"/>
        <v>❌ FAILED: 6.4% - This person has probably not the right Codice Fiscale</v>
      </c>
      <c r="H459" s="6"/>
      <c r="I459" s="5" t="str">
        <f t="shared" si="14"/>
        <v>❌ FAIL - Wrong length (0/16 chars)</v>
      </c>
      <c r="J459" s="5" t="e">
        <f>_xlfn.LET(
  _xlpm.cf, UPPER(E459),
  _xlpm.data, D459,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59" s="5" t="e">
        <f t="shared" si="25"/>
        <v>#VALUE!</v>
      </c>
      <c r="L459" s="5" t="str">
        <f t="shared" si="26"/>
        <v xml:space="preserve">❌ FAIL - 8/50 points (1/6) - Expected: XXXXX, Found: </v>
      </c>
      <c r="M459" s="5" t="s">
        <v>24</v>
      </c>
      <c r="N459" s="5" t="s">
        <v>28</v>
      </c>
    </row>
    <row r="460" spans="1:14" ht="13">
      <c r="A460" s="5"/>
      <c r="B460" s="5"/>
      <c r="C460" s="5"/>
      <c r="D460" s="5"/>
      <c r="E460" s="5"/>
      <c r="G460" s="5" t="str">
        <f t="shared" si="24"/>
        <v>❌ FAILED: 6.4% - This person has probably not the right Codice Fiscale</v>
      </c>
      <c r="H460" s="6"/>
      <c r="I460" s="5" t="str">
        <f t="shared" si="14"/>
        <v>❌ FAIL - Wrong length (0/16 chars)</v>
      </c>
      <c r="J460" s="5" t="e">
        <f>_xlfn.LET(
  _xlpm.cf, UPPER(E460),
  _xlpm.data, D460,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60" s="5" t="e">
        <f t="shared" si="25"/>
        <v>#VALUE!</v>
      </c>
      <c r="L460" s="5" t="str">
        <f t="shared" si="26"/>
        <v xml:space="preserve">❌ FAIL - 8/50 points (1/6) - Expected: XXXXX, Found: </v>
      </c>
      <c r="M460" s="5" t="s">
        <v>24</v>
      </c>
      <c r="N460" s="5" t="s">
        <v>28</v>
      </c>
    </row>
    <row r="461" spans="1:14" ht="13">
      <c r="A461" s="5"/>
      <c r="B461" s="5"/>
      <c r="C461" s="5"/>
      <c r="D461" s="5"/>
      <c r="E461" s="5"/>
      <c r="G461" s="5" t="str">
        <f t="shared" si="24"/>
        <v>❌ FAILED: 6.4% - This person has probably not the right Codice Fiscale</v>
      </c>
      <c r="H461" s="6"/>
      <c r="I461" s="5" t="str">
        <f t="shared" si="14"/>
        <v>❌ FAIL - Wrong length (0/16 chars)</v>
      </c>
      <c r="J461" s="5" t="e">
        <f>_xlfn.LET(
  _xlpm.cf, UPPER(E461),
  _xlpm.data, D461,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61" s="5" t="e">
        <f t="shared" si="25"/>
        <v>#VALUE!</v>
      </c>
      <c r="L461" s="5" t="str">
        <f t="shared" si="26"/>
        <v xml:space="preserve">❌ FAIL - 8/50 points (1/6) - Expected: XXXXX, Found: </v>
      </c>
      <c r="M461" s="5" t="s">
        <v>24</v>
      </c>
      <c r="N461" s="5" t="s">
        <v>28</v>
      </c>
    </row>
    <row r="462" spans="1:14" ht="13">
      <c r="A462" s="5"/>
      <c r="B462" s="5"/>
      <c r="C462" s="5"/>
      <c r="D462" s="5"/>
      <c r="E462" s="5"/>
      <c r="G462" s="5" t="str">
        <f t="shared" si="24"/>
        <v>❌ FAILED: 6.4% - This person has probably not the right Codice Fiscale</v>
      </c>
      <c r="H462" s="6"/>
      <c r="I462" s="5" t="str">
        <f t="shared" si="14"/>
        <v>❌ FAIL - Wrong length (0/16 chars)</v>
      </c>
      <c r="J462" s="5" t="e">
        <f>_xlfn.LET(
  _xlpm.cf, UPPER(E462),
  _xlpm.data, D462,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62" s="5" t="e">
        <f t="shared" si="25"/>
        <v>#VALUE!</v>
      </c>
      <c r="L462" s="5" t="str">
        <f t="shared" si="26"/>
        <v xml:space="preserve">❌ FAIL - 8/50 points (1/6) - Expected: XXXXX, Found: </v>
      </c>
      <c r="M462" s="5" t="s">
        <v>24</v>
      </c>
      <c r="N462" s="5" t="s">
        <v>28</v>
      </c>
    </row>
    <row r="463" spans="1:14" ht="13">
      <c r="A463" s="5"/>
      <c r="B463" s="5"/>
      <c r="C463" s="5"/>
      <c r="D463" s="5"/>
      <c r="E463" s="5"/>
      <c r="G463" s="5" t="str">
        <f t="shared" si="24"/>
        <v>❌ FAILED: 6.4% - This person has probably not the right Codice Fiscale</v>
      </c>
      <c r="H463" s="6"/>
      <c r="I463" s="5" t="str">
        <f t="shared" si="14"/>
        <v>❌ FAIL - Wrong length (0/16 chars)</v>
      </c>
      <c r="J463" s="5" t="e">
        <f>_xlfn.LET(
  _xlpm.cf, UPPER(E463),
  _xlpm.data, D463,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63" s="5" t="e">
        <f t="shared" si="25"/>
        <v>#VALUE!</v>
      </c>
      <c r="L463" s="5" t="str">
        <f t="shared" si="26"/>
        <v xml:space="preserve">❌ FAIL - 8/50 points (1/6) - Expected: XXXXX, Found: </v>
      </c>
      <c r="M463" s="5" t="s">
        <v>24</v>
      </c>
      <c r="N463" s="5" t="s">
        <v>28</v>
      </c>
    </row>
    <row r="464" spans="1:14" ht="13">
      <c r="A464" s="5"/>
      <c r="B464" s="5"/>
      <c r="C464" s="5"/>
      <c r="D464" s="5"/>
      <c r="E464" s="5"/>
      <c r="G464" s="5" t="str">
        <f t="shared" si="24"/>
        <v>❌ FAILED: 6.4% - This person has probably not the right Codice Fiscale</v>
      </c>
      <c r="H464" s="6"/>
      <c r="I464" s="5" t="str">
        <f t="shared" si="14"/>
        <v>❌ FAIL - Wrong length (0/16 chars)</v>
      </c>
      <c r="J464" s="5" t="e">
        <f>_xlfn.LET(
  _xlpm.cf, UPPER(E464),
  _xlpm.data, D464,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64" s="5" t="e">
        <f t="shared" si="25"/>
        <v>#VALUE!</v>
      </c>
      <c r="L464" s="5" t="str">
        <f t="shared" si="26"/>
        <v xml:space="preserve">❌ FAIL - 8/50 points (1/6) - Expected: XXXXX, Found: </v>
      </c>
      <c r="M464" s="5" t="s">
        <v>24</v>
      </c>
      <c r="N464" s="5" t="s">
        <v>28</v>
      </c>
    </row>
    <row r="465" spans="1:14" ht="13">
      <c r="A465" s="5"/>
      <c r="B465" s="5"/>
      <c r="C465" s="5"/>
      <c r="D465" s="5"/>
      <c r="E465" s="5"/>
      <c r="G465" s="5" t="str">
        <f t="shared" si="24"/>
        <v>❌ FAILED: 6.4% - This person has probably not the right Codice Fiscale</v>
      </c>
      <c r="H465" s="6"/>
      <c r="I465" s="5" t="str">
        <f t="shared" si="14"/>
        <v>❌ FAIL - Wrong length (0/16 chars)</v>
      </c>
      <c r="J465" s="5" t="e">
        <f>_xlfn.LET(
  _xlpm.cf, UPPER(E465),
  _xlpm.data, D465,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65" s="5" t="e">
        <f t="shared" si="25"/>
        <v>#VALUE!</v>
      </c>
      <c r="L465" s="5" t="str">
        <f t="shared" si="26"/>
        <v xml:space="preserve">❌ FAIL - 8/50 points (1/6) - Expected: XXXXX, Found: </v>
      </c>
      <c r="M465" s="5" t="s">
        <v>24</v>
      </c>
      <c r="N465" s="5" t="s">
        <v>28</v>
      </c>
    </row>
    <row r="466" spans="1:14" ht="13">
      <c r="A466" s="5"/>
      <c r="B466" s="5"/>
      <c r="C466" s="5"/>
      <c r="D466" s="5"/>
      <c r="E466" s="5"/>
      <c r="G466" s="5" t="str">
        <f t="shared" si="24"/>
        <v>❌ FAILED: 6.4% - This person has probably not the right Codice Fiscale</v>
      </c>
      <c r="H466" s="6"/>
      <c r="I466" s="5" t="str">
        <f t="shared" si="14"/>
        <v>❌ FAIL - Wrong length (0/16 chars)</v>
      </c>
      <c r="J466" s="5" t="e">
        <f>_xlfn.LET(
  _xlpm.cf, UPPER(E466),
  _xlpm.data, D466,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66" s="5" t="e">
        <f t="shared" si="25"/>
        <v>#VALUE!</v>
      </c>
      <c r="L466" s="5" t="str">
        <f t="shared" si="26"/>
        <v xml:space="preserve">❌ FAIL - 8/50 points (1/6) - Expected: XXXXX, Found: </v>
      </c>
      <c r="M466" s="5" t="s">
        <v>24</v>
      </c>
      <c r="N466" s="5" t="s">
        <v>28</v>
      </c>
    </row>
    <row r="467" spans="1:14" ht="13">
      <c r="A467" s="5"/>
      <c r="B467" s="5"/>
      <c r="C467" s="5"/>
      <c r="D467" s="5"/>
      <c r="E467" s="5"/>
      <c r="G467" s="5" t="str">
        <f t="shared" si="24"/>
        <v>❌ FAILED: 6.4% - This person has probably not the right Codice Fiscale</v>
      </c>
      <c r="H467" s="6"/>
      <c r="I467" s="5" t="str">
        <f t="shared" si="14"/>
        <v>❌ FAIL - Wrong length (0/16 chars)</v>
      </c>
      <c r="J467" s="5" t="e">
        <f>_xlfn.LET(
  _xlpm.cf, UPPER(E467),
  _xlpm.data, D467,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67" s="5" t="e">
        <f t="shared" si="25"/>
        <v>#VALUE!</v>
      </c>
      <c r="L467" s="5" t="str">
        <f t="shared" si="26"/>
        <v xml:space="preserve">❌ FAIL - 8/50 points (1/6) - Expected: XXXXX, Found: </v>
      </c>
      <c r="M467" s="5" t="s">
        <v>24</v>
      </c>
      <c r="N467" s="5" t="s">
        <v>28</v>
      </c>
    </row>
    <row r="468" spans="1:14" ht="13">
      <c r="A468" s="5"/>
      <c r="B468" s="5"/>
      <c r="C468" s="5"/>
      <c r="D468" s="5"/>
      <c r="E468" s="5"/>
      <c r="G468" s="5" t="str">
        <f t="shared" si="24"/>
        <v>❌ FAILED: 6.4% - This person has probably not the right Codice Fiscale</v>
      </c>
      <c r="H468" s="6"/>
      <c r="I468" s="5" t="str">
        <f t="shared" si="14"/>
        <v>❌ FAIL - Wrong length (0/16 chars)</v>
      </c>
      <c r="J468" s="5" t="e">
        <f>_xlfn.LET(
  _xlpm.cf, UPPER(E468),
  _xlpm.data, D468,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68" s="5" t="e">
        <f t="shared" si="25"/>
        <v>#VALUE!</v>
      </c>
      <c r="L468" s="5" t="str">
        <f t="shared" si="26"/>
        <v xml:space="preserve">❌ FAIL - 8/50 points (1/6) - Expected: XXXXX, Found: </v>
      </c>
      <c r="M468" s="5" t="s">
        <v>24</v>
      </c>
      <c r="N468" s="5" t="s">
        <v>28</v>
      </c>
    </row>
    <row r="469" spans="1:14" ht="13">
      <c r="A469" s="5"/>
      <c r="B469" s="5"/>
      <c r="C469" s="5"/>
      <c r="D469" s="5"/>
      <c r="E469" s="5"/>
      <c r="G469" s="5" t="str">
        <f t="shared" si="24"/>
        <v>❌ FAILED: 6.4% - This person has probably not the right Codice Fiscale</v>
      </c>
      <c r="H469" s="6"/>
      <c r="I469" s="5" t="str">
        <f t="shared" si="14"/>
        <v>❌ FAIL - Wrong length (0/16 chars)</v>
      </c>
      <c r="J469" s="5" t="e">
        <f>_xlfn.LET(
  _xlpm.cf, UPPER(E469),
  _xlpm.data, D469,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69" s="5" t="e">
        <f t="shared" si="25"/>
        <v>#VALUE!</v>
      </c>
      <c r="L469" s="5" t="str">
        <f t="shared" si="26"/>
        <v xml:space="preserve">❌ FAIL - 8/50 points (1/6) - Expected: XXXXX, Found: </v>
      </c>
      <c r="M469" s="5" t="s">
        <v>24</v>
      </c>
      <c r="N469" s="5" t="s">
        <v>28</v>
      </c>
    </row>
    <row r="470" spans="1:14" ht="13">
      <c r="A470" s="5"/>
      <c r="B470" s="5"/>
      <c r="C470" s="5"/>
      <c r="D470" s="5"/>
      <c r="E470" s="5"/>
      <c r="G470" s="5" t="str">
        <f t="shared" si="24"/>
        <v>❌ FAILED: 6.4% - This person has probably not the right Codice Fiscale</v>
      </c>
      <c r="H470" s="6"/>
      <c r="I470" s="5" t="str">
        <f t="shared" si="14"/>
        <v>❌ FAIL - Wrong length (0/16 chars)</v>
      </c>
      <c r="J470" s="5" t="e">
        <f>_xlfn.LET(
  _xlpm.cf, UPPER(E470),
  _xlpm.data, D470,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70" s="5" t="e">
        <f t="shared" si="25"/>
        <v>#VALUE!</v>
      </c>
      <c r="L470" s="5" t="str">
        <f t="shared" si="26"/>
        <v xml:space="preserve">❌ FAIL - 8/50 points (1/6) - Expected: XXXXX, Found: </v>
      </c>
      <c r="M470" s="5" t="s">
        <v>24</v>
      </c>
      <c r="N470" s="5" t="s">
        <v>28</v>
      </c>
    </row>
    <row r="471" spans="1:14" ht="13">
      <c r="A471" s="5"/>
      <c r="B471" s="5"/>
      <c r="C471" s="5"/>
      <c r="D471" s="5"/>
      <c r="E471" s="5"/>
      <c r="G471" s="5" t="str">
        <f t="shared" si="24"/>
        <v>❌ FAILED: 6.4% - This person has probably not the right Codice Fiscale</v>
      </c>
      <c r="H471" s="6"/>
      <c r="I471" s="5" t="str">
        <f t="shared" si="14"/>
        <v>❌ FAIL - Wrong length (0/16 chars)</v>
      </c>
      <c r="J471" s="5" t="e">
        <f>_xlfn.LET(
  _xlpm.cf, UPPER(E471),
  _xlpm.data, D471,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71" s="5" t="e">
        <f t="shared" si="25"/>
        <v>#VALUE!</v>
      </c>
      <c r="L471" s="5" t="str">
        <f t="shared" si="26"/>
        <v xml:space="preserve">❌ FAIL - 8/50 points (1/6) - Expected: XXXXX, Found: </v>
      </c>
      <c r="M471" s="5" t="s">
        <v>24</v>
      </c>
      <c r="N471" s="5" t="s">
        <v>28</v>
      </c>
    </row>
    <row r="472" spans="1:14" ht="13">
      <c r="A472" s="5"/>
      <c r="B472" s="5"/>
      <c r="C472" s="5"/>
      <c r="D472" s="5"/>
      <c r="E472" s="5"/>
      <c r="G472" s="5" t="str">
        <f t="shared" si="24"/>
        <v>❌ FAILED: 6.4% - This person has probably not the right Codice Fiscale</v>
      </c>
      <c r="H472" s="6"/>
      <c r="I472" s="5" t="str">
        <f t="shared" si="14"/>
        <v>❌ FAIL - Wrong length (0/16 chars)</v>
      </c>
      <c r="J472" s="5" t="e">
        <f>_xlfn.LET(
  _xlpm.cf, UPPER(E472),
  _xlpm.data, D472,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72" s="5" t="e">
        <f t="shared" si="25"/>
        <v>#VALUE!</v>
      </c>
      <c r="L472" s="5" t="str">
        <f t="shared" si="26"/>
        <v xml:space="preserve">❌ FAIL - 8/50 points (1/6) - Expected: XXXXX, Found: </v>
      </c>
      <c r="M472" s="5" t="s">
        <v>24</v>
      </c>
      <c r="N472" s="5" t="s">
        <v>28</v>
      </c>
    </row>
    <row r="473" spans="1:14" ht="13">
      <c r="A473" s="5"/>
      <c r="B473" s="5"/>
      <c r="C473" s="5"/>
      <c r="D473" s="5"/>
      <c r="E473" s="5"/>
      <c r="G473" s="5" t="str">
        <f t="shared" si="24"/>
        <v>❌ FAILED: 6.4% - This person has probably not the right Codice Fiscale</v>
      </c>
      <c r="H473" s="6"/>
      <c r="I473" s="5" t="str">
        <f t="shared" si="14"/>
        <v>❌ FAIL - Wrong length (0/16 chars)</v>
      </c>
      <c r="J473" s="5" t="e">
        <f>_xlfn.LET(
  _xlpm.cf, UPPER(E473),
  _xlpm.data, D473,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73" s="5" t="e">
        <f t="shared" si="25"/>
        <v>#VALUE!</v>
      </c>
      <c r="L473" s="5" t="str">
        <f t="shared" si="26"/>
        <v xml:space="preserve">❌ FAIL - 8/50 points (1/6) - Expected: XXXXX, Found: </v>
      </c>
      <c r="M473" s="5" t="s">
        <v>24</v>
      </c>
      <c r="N473" s="5" t="s">
        <v>28</v>
      </c>
    </row>
    <row r="474" spans="1:14" ht="13">
      <c r="A474" s="5"/>
      <c r="B474" s="5"/>
      <c r="C474" s="5"/>
      <c r="D474" s="5"/>
      <c r="E474" s="5"/>
      <c r="G474" s="5" t="str">
        <f t="shared" si="24"/>
        <v>❌ FAILED: 6.4% - This person has probably not the right Codice Fiscale</v>
      </c>
      <c r="H474" s="6"/>
      <c r="I474" s="5" t="str">
        <f t="shared" si="14"/>
        <v>❌ FAIL - Wrong length (0/16 chars)</v>
      </c>
      <c r="J474" s="5" t="e">
        <f>_xlfn.LET(
  _xlpm.cf, UPPER(E474),
  _xlpm.data, D474,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74" s="5" t="e">
        <f t="shared" si="25"/>
        <v>#VALUE!</v>
      </c>
      <c r="L474" s="5" t="str">
        <f t="shared" si="26"/>
        <v xml:space="preserve">❌ FAIL - 8/50 points (1/6) - Expected: XXXXX, Found: </v>
      </c>
      <c r="M474" s="5" t="s">
        <v>24</v>
      </c>
      <c r="N474" s="5" t="s">
        <v>28</v>
      </c>
    </row>
    <row r="475" spans="1:14" ht="13">
      <c r="A475" s="5"/>
      <c r="B475" s="5"/>
      <c r="C475" s="5"/>
      <c r="D475" s="5"/>
      <c r="E475" s="5"/>
      <c r="G475" s="5" t="str">
        <f t="shared" si="24"/>
        <v>❌ FAILED: 6.4% - This person has probably not the right Codice Fiscale</v>
      </c>
      <c r="H475" s="6"/>
      <c r="I475" s="5" t="str">
        <f t="shared" si="14"/>
        <v>❌ FAIL - Wrong length (0/16 chars)</v>
      </c>
      <c r="J475" s="5" t="e">
        <f>_xlfn.LET(
  _xlpm.cf, UPPER(E475),
  _xlpm.data, D475,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75" s="5" t="e">
        <f t="shared" si="25"/>
        <v>#VALUE!</v>
      </c>
      <c r="L475" s="5" t="str">
        <f t="shared" si="26"/>
        <v xml:space="preserve">❌ FAIL - 8/50 points (1/6) - Expected: XXXXX, Found: </v>
      </c>
      <c r="M475" s="5" t="s">
        <v>24</v>
      </c>
      <c r="N475" s="5" t="s">
        <v>28</v>
      </c>
    </row>
    <row r="476" spans="1:14" ht="13">
      <c r="A476" s="5"/>
      <c r="B476" s="5"/>
      <c r="C476" s="5"/>
      <c r="D476" s="5"/>
      <c r="E476" s="5"/>
      <c r="G476" s="5" t="str">
        <f t="shared" si="24"/>
        <v>❌ FAILED: 6.4% - This person has probably not the right Codice Fiscale</v>
      </c>
      <c r="H476" s="6"/>
      <c r="I476" s="5" t="str">
        <f t="shared" si="14"/>
        <v>❌ FAIL - Wrong length (0/16 chars)</v>
      </c>
      <c r="J476" s="5" t="e">
        <f>_xlfn.LET(
  _xlpm.cf, UPPER(E476),
  _xlpm.data, D476,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76" s="5" t="e">
        <f t="shared" si="25"/>
        <v>#VALUE!</v>
      </c>
      <c r="L476" s="5" t="str">
        <f t="shared" si="26"/>
        <v xml:space="preserve">❌ FAIL - 8/50 points (1/6) - Expected: XXXXX, Found: </v>
      </c>
      <c r="M476" s="5" t="s">
        <v>24</v>
      </c>
      <c r="N476" s="5" t="s">
        <v>28</v>
      </c>
    </row>
    <row r="477" spans="1:14" ht="13">
      <c r="A477" s="5"/>
      <c r="B477" s="5"/>
      <c r="C477" s="5"/>
      <c r="D477" s="5"/>
      <c r="E477" s="5"/>
      <c r="G477" s="5" t="str">
        <f t="shared" si="24"/>
        <v>❌ FAILED: 6.4% - This person has probably not the right Codice Fiscale</v>
      </c>
      <c r="H477" s="6"/>
      <c r="I477" s="5" t="str">
        <f t="shared" si="14"/>
        <v>❌ FAIL - Wrong length (0/16 chars)</v>
      </c>
      <c r="J477" s="5" t="e">
        <f>_xlfn.LET(
  _xlpm.cf, UPPER(E477),
  _xlpm.data, D477,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77" s="5" t="e">
        <f t="shared" si="25"/>
        <v>#VALUE!</v>
      </c>
      <c r="L477" s="5" t="str">
        <f t="shared" si="26"/>
        <v xml:space="preserve">❌ FAIL - 8/50 points (1/6) - Expected: XXXXX, Found: </v>
      </c>
      <c r="M477" s="5" t="s">
        <v>24</v>
      </c>
      <c r="N477" s="5" t="s">
        <v>28</v>
      </c>
    </row>
    <row r="478" spans="1:14" ht="13">
      <c r="A478" s="5"/>
      <c r="B478" s="5"/>
      <c r="C478" s="5"/>
      <c r="D478" s="5"/>
      <c r="E478" s="5"/>
      <c r="G478" s="5" t="str">
        <f t="shared" si="24"/>
        <v>❌ FAILED: 6.4% - This person has probably not the right Codice Fiscale</v>
      </c>
      <c r="H478" s="6"/>
      <c r="I478" s="5" t="str">
        <f t="shared" si="14"/>
        <v>❌ FAIL - Wrong length (0/16 chars)</v>
      </c>
      <c r="J478" s="5" t="e">
        <f>_xlfn.LET(
  _xlpm.cf, UPPER(E478),
  _xlpm.data, D478,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78" s="5" t="e">
        <f t="shared" si="25"/>
        <v>#VALUE!</v>
      </c>
      <c r="L478" s="5" t="str">
        <f t="shared" si="26"/>
        <v xml:space="preserve">❌ FAIL - 8/50 points (1/6) - Expected: XXXXX, Found: </v>
      </c>
      <c r="M478" s="5" t="s">
        <v>24</v>
      </c>
      <c r="N478" s="5" t="s">
        <v>28</v>
      </c>
    </row>
    <row r="479" spans="1:14" ht="13">
      <c r="A479" s="5"/>
      <c r="B479" s="5"/>
      <c r="C479" s="5"/>
      <c r="D479" s="5"/>
      <c r="E479" s="5"/>
      <c r="G479" s="5" t="str">
        <f t="shared" si="24"/>
        <v>❌ FAILED: 6.4% - This person has probably not the right Codice Fiscale</v>
      </c>
      <c r="H479" s="6"/>
      <c r="I479" s="5" t="str">
        <f t="shared" si="14"/>
        <v>❌ FAIL - Wrong length (0/16 chars)</v>
      </c>
      <c r="J479" s="5" t="e">
        <f>_xlfn.LET(
  _xlpm.cf, UPPER(E479),
  _xlpm.data, D479,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79" s="5" t="e">
        <f t="shared" si="25"/>
        <v>#VALUE!</v>
      </c>
      <c r="L479" s="5" t="str">
        <f t="shared" si="26"/>
        <v xml:space="preserve">❌ FAIL - 8/50 points (1/6) - Expected: XXXXX, Found: </v>
      </c>
      <c r="M479" s="5" t="s">
        <v>24</v>
      </c>
      <c r="N479" s="5" t="s">
        <v>28</v>
      </c>
    </row>
    <row r="480" spans="1:14" ht="13">
      <c r="A480" s="5"/>
      <c r="B480" s="5"/>
      <c r="C480" s="5"/>
      <c r="D480" s="5"/>
      <c r="E480" s="5"/>
      <c r="G480" s="5" t="str">
        <f t="shared" si="24"/>
        <v>❌ FAILED: 6.4% - This person has probably not the right Codice Fiscale</v>
      </c>
      <c r="H480" s="6"/>
      <c r="I480" s="5" t="str">
        <f t="shared" si="14"/>
        <v>❌ FAIL - Wrong length (0/16 chars)</v>
      </c>
      <c r="J480" s="5" t="e">
        <f>_xlfn.LET(
  _xlpm.cf, UPPER(E480),
  _xlpm.data, D480,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80" s="5" t="e">
        <f t="shared" si="25"/>
        <v>#VALUE!</v>
      </c>
      <c r="L480" s="5" t="str">
        <f t="shared" si="26"/>
        <v xml:space="preserve">❌ FAIL - 8/50 points (1/6) - Expected: XXXXX, Found: </v>
      </c>
      <c r="M480" s="5" t="s">
        <v>24</v>
      </c>
      <c r="N480" s="5" t="s">
        <v>28</v>
      </c>
    </row>
    <row r="481" spans="1:14" ht="13">
      <c r="A481" s="5"/>
      <c r="B481" s="5"/>
      <c r="C481" s="5"/>
      <c r="D481" s="5"/>
      <c r="E481" s="5"/>
      <c r="G481" s="5" t="str">
        <f t="shared" si="24"/>
        <v>❌ FAILED: 6.4% - This person has probably not the right Codice Fiscale</v>
      </c>
      <c r="H481" s="6"/>
      <c r="I481" s="5" t="str">
        <f t="shared" si="14"/>
        <v>❌ FAIL - Wrong length (0/16 chars)</v>
      </c>
      <c r="J481" s="5" t="e">
        <f>_xlfn.LET(
  _xlpm.cf, UPPER(E481),
  _xlpm.data, D481,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81" s="5" t="e">
        <f t="shared" si="25"/>
        <v>#VALUE!</v>
      </c>
      <c r="L481" s="5" t="str">
        <f t="shared" si="26"/>
        <v xml:space="preserve">❌ FAIL - 8/50 points (1/6) - Expected: XXXXX, Found: </v>
      </c>
      <c r="M481" s="5" t="s">
        <v>24</v>
      </c>
      <c r="N481" s="5" t="s">
        <v>28</v>
      </c>
    </row>
    <row r="482" spans="1:14" ht="13">
      <c r="A482" s="5"/>
      <c r="B482" s="5"/>
      <c r="C482" s="5"/>
      <c r="D482" s="5"/>
      <c r="E482" s="5"/>
      <c r="G482" s="5" t="str">
        <f t="shared" si="24"/>
        <v>❌ FAILED: 6.4% - This person has probably not the right Codice Fiscale</v>
      </c>
      <c r="H482" s="6"/>
      <c r="I482" s="5" t="str">
        <f t="shared" si="14"/>
        <v>❌ FAIL - Wrong length (0/16 chars)</v>
      </c>
      <c r="J482" s="5" t="e">
        <f>_xlfn.LET(
  _xlpm.cf, UPPER(E482),
  _xlpm.data, D482,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82" s="5" t="e">
        <f t="shared" si="25"/>
        <v>#VALUE!</v>
      </c>
      <c r="L482" s="5" t="str">
        <f t="shared" si="26"/>
        <v xml:space="preserve">❌ FAIL - 8/50 points (1/6) - Expected: XXXXX, Found: </v>
      </c>
      <c r="M482" s="5" t="s">
        <v>24</v>
      </c>
      <c r="N482" s="5" t="s">
        <v>28</v>
      </c>
    </row>
    <row r="483" spans="1:14" ht="13">
      <c r="A483" s="5"/>
      <c r="B483" s="5"/>
      <c r="C483" s="5"/>
      <c r="D483" s="5"/>
      <c r="E483" s="5"/>
      <c r="G483" s="5" t="str">
        <f t="shared" si="24"/>
        <v>❌ FAILED: 6.4% - This person has probably not the right Codice Fiscale</v>
      </c>
      <c r="H483" s="6"/>
      <c r="I483" s="5" t="str">
        <f t="shared" si="14"/>
        <v>❌ FAIL - Wrong length (0/16 chars)</v>
      </c>
      <c r="J483" s="5" t="e">
        <f>_xlfn.LET(
  _xlpm.cf, UPPER(E483),
  _xlpm.data, D483,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83" s="5" t="e">
        <f t="shared" si="25"/>
        <v>#VALUE!</v>
      </c>
      <c r="L483" s="5" t="str">
        <f t="shared" si="26"/>
        <v xml:space="preserve">❌ FAIL - 8/50 points (1/6) - Expected: XXXXX, Found: </v>
      </c>
      <c r="M483" s="5" t="s">
        <v>24</v>
      </c>
      <c r="N483" s="5" t="s">
        <v>28</v>
      </c>
    </row>
    <row r="484" spans="1:14" ht="13">
      <c r="A484" s="5"/>
      <c r="B484" s="5"/>
      <c r="C484" s="5"/>
      <c r="D484" s="5"/>
      <c r="E484" s="5"/>
      <c r="G484" s="5" t="str">
        <f t="shared" si="24"/>
        <v>❌ FAILED: 6.4% - This person has probably not the right Codice Fiscale</v>
      </c>
      <c r="H484" s="6"/>
      <c r="I484" s="5" t="str">
        <f t="shared" si="14"/>
        <v>❌ FAIL - Wrong length (0/16 chars)</v>
      </c>
      <c r="J484" s="5" t="e">
        <f>_xlfn.LET(
  _xlpm.cf, UPPER(E484),
  _xlpm.data, D484,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84" s="5" t="e">
        <f t="shared" si="25"/>
        <v>#VALUE!</v>
      </c>
      <c r="L484" s="5" t="str">
        <f t="shared" si="26"/>
        <v xml:space="preserve">❌ FAIL - 8/50 points (1/6) - Expected: XXXXX, Found: </v>
      </c>
      <c r="M484" s="5" t="s">
        <v>24</v>
      </c>
      <c r="N484" s="5" t="s">
        <v>28</v>
      </c>
    </row>
    <row r="485" spans="1:14" ht="13">
      <c r="A485" s="5"/>
      <c r="B485" s="5"/>
      <c r="C485" s="5"/>
      <c r="D485" s="5"/>
      <c r="E485" s="5"/>
      <c r="G485" s="5" t="str">
        <f t="shared" si="24"/>
        <v>❌ FAILED: 6.4% - This person has probably not the right Codice Fiscale</v>
      </c>
      <c r="H485" s="6"/>
      <c r="I485" s="5" t="str">
        <f t="shared" si="14"/>
        <v>❌ FAIL - Wrong length (0/16 chars)</v>
      </c>
      <c r="J485" s="5" t="e">
        <f>_xlfn.LET(
  _xlpm.cf, UPPER(E485),
  _xlpm.data, D485,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85" s="5" t="e">
        <f t="shared" si="25"/>
        <v>#VALUE!</v>
      </c>
      <c r="L485" s="5" t="str">
        <f t="shared" si="26"/>
        <v xml:space="preserve">❌ FAIL - 8/50 points (1/6) - Expected: XXXXX, Found: </v>
      </c>
      <c r="M485" s="5" t="s">
        <v>24</v>
      </c>
      <c r="N485" s="5" t="s">
        <v>28</v>
      </c>
    </row>
    <row r="486" spans="1:14" ht="13">
      <c r="A486" s="5"/>
      <c r="B486" s="5"/>
      <c r="C486" s="5"/>
      <c r="D486" s="5"/>
      <c r="E486" s="5"/>
      <c r="G486" s="5" t="str">
        <f t="shared" si="24"/>
        <v>❌ FAILED: 6.4% - This person has probably not the right Codice Fiscale</v>
      </c>
      <c r="H486" s="6"/>
      <c r="I486" s="5" t="str">
        <f t="shared" si="14"/>
        <v>❌ FAIL - Wrong length (0/16 chars)</v>
      </c>
      <c r="J486" s="5" t="e">
        <f>_xlfn.LET(
  _xlpm.cf, UPPER(E486),
  _xlpm.data, D486,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86" s="5" t="e">
        <f t="shared" si="25"/>
        <v>#VALUE!</v>
      </c>
      <c r="L486" s="5" t="str">
        <f t="shared" si="26"/>
        <v xml:space="preserve">❌ FAIL - 8/50 points (1/6) - Expected: XXXXX, Found: </v>
      </c>
      <c r="M486" s="5" t="s">
        <v>24</v>
      </c>
      <c r="N486" s="5" t="s">
        <v>28</v>
      </c>
    </row>
    <row r="487" spans="1:14" ht="13">
      <c r="A487" s="5"/>
      <c r="B487" s="5"/>
      <c r="C487" s="5"/>
      <c r="D487" s="5"/>
      <c r="E487" s="5"/>
      <c r="G487" s="5" t="str">
        <f t="shared" si="24"/>
        <v>❌ FAILED: 6.4% - This person has probably not the right Codice Fiscale</v>
      </c>
      <c r="H487" s="6"/>
      <c r="I487" s="5" t="str">
        <f t="shared" si="14"/>
        <v>❌ FAIL - Wrong length (0/16 chars)</v>
      </c>
      <c r="J487" s="5" t="e">
        <f>_xlfn.LET(
  _xlpm.cf, UPPER(E487),
  _xlpm.data, D487,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87" s="5" t="e">
        <f t="shared" si="25"/>
        <v>#VALUE!</v>
      </c>
      <c r="L487" s="5" t="str">
        <f t="shared" si="26"/>
        <v xml:space="preserve">❌ FAIL - 8/50 points (1/6) - Expected: XXXXX, Found: </v>
      </c>
      <c r="M487" s="5" t="s">
        <v>24</v>
      </c>
      <c r="N487" s="5" t="s">
        <v>28</v>
      </c>
    </row>
    <row r="488" spans="1:14" ht="13">
      <c r="A488" s="5"/>
      <c r="B488" s="5"/>
      <c r="C488" s="5"/>
      <c r="D488" s="5"/>
      <c r="E488" s="5"/>
      <c r="G488" s="5" t="str">
        <f t="shared" si="24"/>
        <v>❌ FAILED: 6.4% - This person has probably not the right Codice Fiscale</v>
      </c>
      <c r="H488" s="6"/>
      <c r="I488" s="5" t="str">
        <f t="shared" si="14"/>
        <v>❌ FAIL - Wrong length (0/16 chars)</v>
      </c>
      <c r="J488" s="5" t="e">
        <f>_xlfn.LET(
  _xlpm.cf, UPPER(E488),
  _xlpm.data, D488,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88" s="5" t="e">
        <f t="shared" si="25"/>
        <v>#VALUE!</v>
      </c>
      <c r="L488" s="5" t="str">
        <f t="shared" si="26"/>
        <v xml:space="preserve">❌ FAIL - 8/50 points (1/6) - Expected: XXXXX, Found: </v>
      </c>
      <c r="M488" s="5" t="s">
        <v>24</v>
      </c>
      <c r="N488" s="5" t="s">
        <v>28</v>
      </c>
    </row>
    <row r="489" spans="1:14" ht="13">
      <c r="A489" s="5"/>
      <c r="B489" s="5"/>
      <c r="C489" s="5"/>
      <c r="D489" s="5"/>
      <c r="E489" s="5"/>
      <c r="G489" s="5" t="str">
        <f t="shared" si="24"/>
        <v>❌ FAILED: 6.4% - This person has probably not the right Codice Fiscale</v>
      </c>
      <c r="H489" s="6"/>
      <c r="I489" s="5" t="str">
        <f t="shared" si="14"/>
        <v>❌ FAIL - Wrong length (0/16 chars)</v>
      </c>
      <c r="J489" s="5" t="e">
        <f>_xlfn.LET(
  _xlpm.cf, UPPER(E489),
  _xlpm.data, D489,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89" s="5" t="e">
        <f t="shared" si="25"/>
        <v>#VALUE!</v>
      </c>
      <c r="L489" s="5" t="str">
        <f t="shared" si="26"/>
        <v xml:space="preserve">❌ FAIL - 8/50 points (1/6) - Expected: XXXXX, Found: </v>
      </c>
      <c r="M489" s="5" t="s">
        <v>24</v>
      </c>
      <c r="N489" s="5" t="s">
        <v>28</v>
      </c>
    </row>
    <row r="490" spans="1:14" ht="13">
      <c r="A490" s="5"/>
      <c r="B490" s="5"/>
      <c r="C490" s="5"/>
      <c r="D490" s="5"/>
      <c r="E490" s="5"/>
      <c r="G490" s="5" t="str">
        <f t="shared" si="24"/>
        <v>❌ FAILED: 6.4% - This person has probably not the right Codice Fiscale</v>
      </c>
      <c r="H490" s="6"/>
      <c r="I490" s="5" t="str">
        <f t="shared" si="14"/>
        <v>❌ FAIL - Wrong length (0/16 chars)</v>
      </c>
      <c r="J490" s="5" t="e">
        <f>_xlfn.LET(
  _xlpm.cf, UPPER(E490),
  _xlpm.data, D490,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90" s="5" t="e">
        <f t="shared" si="25"/>
        <v>#VALUE!</v>
      </c>
      <c r="L490" s="5" t="str">
        <f t="shared" si="26"/>
        <v xml:space="preserve">❌ FAIL - 8/50 points (1/6) - Expected: XXXXX, Found: </v>
      </c>
      <c r="M490" s="5" t="s">
        <v>24</v>
      </c>
      <c r="N490" s="5" t="s">
        <v>28</v>
      </c>
    </row>
    <row r="491" spans="1:14" ht="13">
      <c r="A491" s="5"/>
      <c r="B491" s="5"/>
      <c r="C491" s="5"/>
      <c r="D491" s="5"/>
      <c r="E491" s="5"/>
      <c r="G491" s="5" t="str">
        <f t="shared" si="24"/>
        <v>❌ FAILED: 6.4% - This person has probably not the right Codice Fiscale</v>
      </c>
      <c r="H491" s="6"/>
      <c r="I491" s="5" t="str">
        <f t="shared" si="14"/>
        <v>❌ FAIL - Wrong length (0/16 chars)</v>
      </c>
      <c r="J491" s="5" t="e">
        <f>_xlfn.LET(
  _xlpm.cf, UPPER(E491),
  _xlpm.data, D491,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91" s="5" t="e">
        <f t="shared" si="25"/>
        <v>#VALUE!</v>
      </c>
      <c r="L491" s="5" t="str">
        <f t="shared" si="26"/>
        <v xml:space="preserve">❌ FAIL - 8/50 points (1/6) - Expected: XXXXX, Found: </v>
      </c>
      <c r="M491" s="5" t="s">
        <v>24</v>
      </c>
      <c r="N491" s="5" t="s">
        <v>28</v>
      </c>
    </row>
    <row r="492" spans="1:14" ht="13">
      <c r="A492" s="5"/>
      <c r="B492" s="5"/>
      <c r="C492" s="5"/>
      <c r="D492" s="5"/>
      <c r="E492" s="5"/>
      <c r="G492" s="5" t="str">
        <f t="shared" si="24"/>
        <v>❌ FAILED: 6.4% - This person has probably not the right Codice Fiscale</v>
      </c>
      <c r="H492" s="6"/>
      <c r="I492" s="5" t="str">
        <f t="shared" si="14"/>
        <v>❌ FAIL - Wrong length (0/16 chars)</v>
      </c>
      <c r="J492" s="5" t="e">
        <f>_xlfn.LET(
  _xlpm.cf, UPPER(E492),
  _xlpm.data, D492,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92" s="5" t="e">
        <f t="shared" si="25"/>
        <v>#VALUE!</v>
      </c>
      <c r="L492" s="5" t="str">
        <f t="shared" si="26"/>
        <v xml:space="preserve">❌ FAIL - 8/50 points (1/6) - Expected: XXXXX, Found: </v>
      </c>
      <c r="M492" s="5" t="s">
        <v>24</v>
      </c>
      <c r="N492" s="5" t="s">
        <v>28</v>
      </c>
    </row>
    <row r="493" spans="1:14" ht="13">
      <c r="A493" s="5"/>
      <c r="B493" s="5"/>
      <c r="C493" s="5"/>
      <c r="D493" s="5"/>
      <c r="E493" s="5"/>
      <c r="G493" s="5" t="str">
        <f t="shared" si="24"/>
        <v>❌ FAILED: 6.4% - This person has probably not the right Codice Fiscale</v>
      </c>
      <c r="H493" s="6"/>
      <c r="I493" s="5" t="str">
        <f t="shared" si="14"/>
        <v>❌ FAIL - Wrong length (0/16 chars)</v>
      </c>
      <c r="J493" s="5" t="e">
        <f>_xlfn.LET(
  _xlpm.cf, UPPER(E493),
  _xlpm.data, D493,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93" s="5" t="e">
        <f t="shared" si="25"/>
        <v>#VALUE!</v>
      </c>
      <c r="L493" s="5" t="str">
        <f t="shared" si="26"/>
        <v xml:space="preserve">❌ FAIL - 8/50 points (1/6) - Expected: XXXXX, Found: </v>
      </c>
      <c r="M493" s="5" t="s">
        <v>24</v>
      </c>
      <c r="N493" s="5" t="s">
        <v>28</v>
      </c>
    </row>
    <row r="494" spans="1:14" ht="13">
      <c r="A494" s="5"/>
      <c r="B494" s="5"/>
      <c r="C494" s="5"/>
      <c r="D494" s="5"/>
      <c r="E494" s="5"/>
      <c r="G494" s="5" t="str">
        <f t="shared" si="24"/>
        <v>❌ FAILED: 6.4% - This person has probably not the right Codice Fiscale</v>
      </c>
      <c r="H494" s="6"/>
      <c r="I494" s="5" t="str">
        <f t="shared" si="14"/>
        <v>❌ FAIL - Wrong length (0/16 chars)</v>
      </c>
      <c r="J494" s="5" t="e">
        <f>_xlfn.LET(
  _xlpm.cf, UPPER(E494),
  _xlpm.data, D494,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94" s="5" t="e">
        <f t="shared" si="25"/>
        <v>#VALUE!</v>
      </c>
      <c r="L494" s="5" t="str">
        <f t="shared" si="26"/>
        <v xml:space="preserve">❌ FAIL - 8/50 points (1/6) - Expected: XXXXX, Found: </v>
      </c>
      <c r="M494" s="5" t="s">
        <v>24</v>
      </c>
      <c r="N494" s="5" t="s">
        <v>28</v>
      </c>
    </row>
    <row r="495" spans="1:14" ht="13">
      <c r="A495" s="5"/>
      <c r="B495" s="5"/>
      <c r="C495" s="5"/>
      <c r="D495" s="5"/>
      <c r="E495" s="5"/>
      <c r="G495" s="5" t="str">
        <f t="shared" si="24"/>
        <v>❌ FAILED: 6.4% - This person has probably not the right Codice Fiscale</v>
      </c>
      <c r="H495" s="6"/>
      <c r="I495" s="5" t="str">
        <f t="shared" si="14"/>
        <v>❌ FAIL - Wrong length (0/16 chars)</v>
      </c>
      <c r="J495" s="5" t="e">
        <f>_xlfn.LET(
  _xlpm.cf, UPPER(E495),
  _xlpm.data, D495,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95" s="5" t="e">
        <f t="shared" si="25"/>
        <v>#VALUE!</v>
      </c>
      <c r="L495" s="5" t="str">
        <f t="shared" si="26"/>
        <v xml:space="preserve">❌ FAIL - 8/50 points (1/6) - Expected: XXXXX, Found: </v>
      </c>
      <c r="M495" s="5" t="s">
        <v>24</v>
      </c>
      <c r="N495" s="5" t="s">
        <v>28</v>
      </c>
    </row>
    <row r="496" spans="1:14" ht="13">
      <c r="A496" s="5"/>
      <c r="B496" s="5"/>
      <c r="C496" s="5"/>
      <c r="D496" s="5"/>
      <c r="E496" s="5"/>
      <c r="G496" s="5" t="str">
        <f t="shared" si="24"/>
        <v>❌ FAILED: 6.4% - This person has probably not the right Codice Fiscale</v>
      </c>
      <c r="H496" s="6"/>
      <c r="I496" s="5" t="str">
        <f t="shared" si="14"/>
        <v>❌ FAIL - Wrong length (0/16 chars)</v>
      </c>
      <c r="J496" s="5" t="e">
        <f>_xlfn.LET(
  _xlpm.cf, UPPER(E496),
  _xlpm.data, D496,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96" s="5" t="e">
        <f t="shared" si="25"/>
        <v>#VALUE!</v>
      </c>
      <c r="L496" s="5" t="str">
        <f t="shared" si="26"/>
        <v xml:space="preserve">❌ FAIL - 8/50 points (1/6) - Expected: XXXXX, Found: </v>
      </c>
      <c r="M496" s="5" t="s">
        <v>24</v>
      </c>
      <c r="N496" s="5" t="s">
        <v>28</v>
      </c>
    </row>
    <row r="497" spans="1:15" ht="13">
      <c r="A497" s="5"/>
      <c r="B497" s="5"/>
      <c r="C497" s="5"/>
      <c r="D497" s="5"/>
      <c r="E497" s="5"/>
      <c r="G497" s="5" t="str">
        <f t="shared" si="24"/>
        <v>❌ FAILED: 6.4% - This person has probably not the right Codice Fiscale</v>
      </c>
      <c r="H497" s="6"/>
      <c r="I497" s="5" t="str">
        <f t="shared" si="14"/>
        <v>❌ FAIL - Wrong length (0/16 chars)</v>
      </c>
      <c r="J497" s="5" t="e">
        <f>_xlfn.LET(
  _xlpm.cf, UPPER(E497),
  _xlpm.data, D497,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97" s="5" t="e">
        <f t="shared" si="25"/>
        <v>#VALUE!</v>
      </c>
      <c r="L497" s="5" t="str">
        <f t="shared" si="26"/>
        <v xml:space="preserve">❌ FAIL - 8/50 points (1/6) - Expected: XXXXX, Found: </v>
      </c>
      <c r="M497" s="5" t="s">
        <v>24</v>
      </c>
      <c r="N497" s="5" t="s">
        <v>28</v>
      </c>
    </row>
    <row r="498" spans="1:15" ht="13">
      <c r="A498" s="5"/>
      <c r="B498" s="5"/>
      <c r="C498" s="5"/>
      <c r="D498" s="5"/>
      <c r="E498" s="5"/>
      <c r="G498" s="5" t="str">
        <f t="shared" si="24"/>
        <v>❌ FAILED: 6.4% - This person has probably not the right Codice Fiscale</v>
      </c>
      <c r="H498" s="6"/>
      <c r="I498" s="5" t="str">
        <f t="shared" si="14"/>
        <v>❌ FAIL - Wrong length (0/16 chars)</v>
      </c>
      <c r="J498" s="5" t="e">
        <f>_xlfn.LET(
  _xlpm.cf, UPPER(E498),
  _xlpm.data, D498,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98" s="5" t="e">
        <f t="shared" si="25"/>
        <v>#VALUE!</v>
      </c>
      <c r="L498" s="5" t="str">
        <f t="shared" si="26"/>
        <v xml:space="preserve">❌ FAIL - 8/50 points (1/6) - Expected: XXXXX, Found: </v>
      </c>
      <c r="M498" s="5" t="s">
        <v>24</v>
      </c>
      <c r="N498" s="5" t="s">
        <v>28</v>
      </c>
    </row>
    <row r="499" spans="1:15" ht="13">
      <c r="A499" s="5"/>
      <c r="B499" s="5"/>
      <c r="C499" s="5"/>
      <c r="D499" s="5"/>
      <c r="E499" s="5"/>
      <c r="G499" s="5" t="str">
        <f t="shared" si="24"/>
        <v>❌ FAILED: 6.4% - This person has probably not the right Codice Fiscale</v>
      </c>
      <c r="H499" s="6"/>
      <c r="I499" s="5" t="str">
        <f t="shared" si="14"/>
        <v>❌ FAIL - Wrong length (0/16 chars)</v>
      </c>
      <c r="J499" s="5" t="e">
        <f>_xlfn.LET(
  _xlpm.cf, UPPER(E499),
  _xlpm.data, D499,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499" s="5" t="e">
        <f t="shared" si="25"/>
        <v>#VALUE!</v>
      </c>
      <c r="L499" s="5" t="str">
        <f t="shared" si="26"/>
        <v xml:space="preserve">❌ FAIL - 8/50 points (1/6) - Expected: XXXXX, Found: </v>
      </c>
      <c r="M499" s="5" t="s">
        <v>24</v>
      </c>
      <c r="N499" s="5" t="s">
        <v>28</v>
      </c>
    </row>
    <row r="500" spans="1:15" ht="13">
      <c r="A500" s="5"/>
      <c r="B500" s="5"/>
      <c r="C500" s="5"/>
      <c r="D500" s="5"/>
      <c r="E500" s="5"/>
      <c r="G500" s="5" t="str">
        <f t="shared" si="24"/>
        <v>❌ FAILED: 6.4% - This person has probably not the right Codice Fiscale</v>
      </c>
      <c r="H500" s="6"/>
      <c r="I500" s="5" t="str">
        <f t="shared" si="14"/>
        <v>❌ FAIL - Wrong length (0/16 chars)</v>
      </c>
      <c r="J500" s="5" t="e">
        <f>_xlfn.LET(
  _xlpm.cf, UPPER(E500),
  _xlpm.data, D500,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00" s="5" t="e">
        <f t="shared" si="25"/>
        <v>#VALUE!</v>
      </c>
      <c r="L500" s="5" t="str">
        <f t="shared" si="26"/>
        <v xml:space="preserve">❌ FAIL - 8/50 points (1/6) - Expected: XXXXX, Found: </v>
      </c>
      <c r="M500" s="5" t="s">
        <v>24</v>
      </c>
      <c r="N500" s="5" t="s">
        <v>28</v>
      </c>
    </row>
    <row r="501" spans="1:15" ht="13">
      <c r="A501" s="5"/>
      <c r="B501" s="5"/>
      <c r="C501" s="5"/>
      <c r="D501" s="5"/>
      <c r="E501" s="5"/>
      <c r="G501" s="5" t="str">
        <f t="shared" si="24"/>
        <v>❌ FAILED: 6.4% - This person has probably not the right Codice Fiscale</v>
      </c>
      <c r="H501" s="6"/>
      <c r="I501" s="5" t="str">
        <f t="shared" si="14"/>
        <v>❌ FAIL - Wrong length (0/16 chars)</v>
      </c>
      <c r="J501" s="5" t="e">
        <f>_xlfn.LET(
  _xlpm.cf, UPPER(E501),
  _xlpm.data, D501,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01" s="5" t="e">
        <f t="shared" si="25"/>
        <v>#VALUE!</v>
      </c>
      <c r="L501" s="5" t="str">
        <f t="shared" si="26"/>
        <v xml:space="preserve">❌ FAIL - 8/50 points (1/6) - Expected: XXXXX, Found: </v>
      </c>
      <c r="M501" s="5" t="s">
        <v>24</v>
      </c>
      <c r="N501" s="5" t="s">
        <v>28</v>
      </c>
    </row>
    <row r="502" spans="1:15" ht="13">
      <c r="A502" s="5"/>
      <c r="B502" s="5"/>
      <c r="C502" s="5"/>
      <c r="D502" s="5"/>
      <c r="E502" s="5"/>
      <c r="G502" s="5" t="str">
        <f t="shared" si="24"/>
        <v>❌ FAILED: 6.4% - This person has probably not the right Codice Fiscale</v>
      </c>
      <c r="H502" s="6"/>
      <c r="I502" s="5" t="str">
        <f t="shared" si="14"/>
        <v>❌ FAIL - Wrong length (0/16 chars)</v>
      </c>
      <c r="J502" s="5" t="e">
        <f>_xlfn.LET(
  _xlpm.cf, UPPER(E502),
  _xlpm.data, D502,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02" s="5" t="e">
        <f t="shared" si="25"/>
        <v>#VALUE!</v>
      </c>
      <c r="L502" s="5" t="str">
        <f t="shared" si="26"/>
        <v xml:space="preserve">❌ FAIL - 8/50 points (1/6) - Expected: XXXXX, Found: </v>
      </c>
      <c r="M502" s="5" t="s">
        <v>24</v>
      </c>
      <c r="N502" s="5" t="s">
        <v>28</v>
      </c>
    </row>
    <row r="503" spans="1:15" ht="13">
      <c r="A503" s="5"/>
      <c r="B503" s="5"/>
      <c r="C503" s="5"/>
      <c r="D503" s="5"/>
      <c r="E503" s="5"/>
      <c r="G503" s="5" t="str">
        <f t="shared" si="24"/>
        <v>❌ FAILED: 6.4% - This person has probably not the right Codice Fiscale</v>
      </c>
      <c r="H503" s="6"/>
      <c r="I503" s="5" t="str">
        <f t="shared" si="14"/>
        <v>❌ FAIL - Wrong length (0/16 chars)</v>
      </c>
      <c r="J503" s="5" t="e">
        <f>_xlfn.LET(
  _xlpm.cf, UPPER(E503),
  _xlpm.data, D503,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03" s="5" t="e">
        <f t="shared" si="25"/>
        <v>#VALUE!</v>
      </c>
      <c r="L503" s="5" t="str">
        <f t="shared" si="26"/>
        <v xml:space="preserve">❌ FAIL - 8/50 points (1/6) - Expected: XXXXX, Found: </v>
      </c>
      <c r="M503" s="5" t="s">
        <v>24</v>
      </c>
      <c r="N503" s="5" t="s">
        <v>28</v>
      </c>
    </row>
    <row r="504" spans="1:15" ht="13">
      <c r="A504" s="5"/>
      <c r="B504" s="5"/>
      <c r="C504" s="5"/>
      <c r="D504" s="5"/>
      <c r="E504" s="5"/>
      <c r="G504" s="5" t="str">
        <f t="shared" si="24"/>
        <v>❌ FAILED: 6.4% - This person has probably not the right Codice Fiscale</v>
      </c>
      <c r="H504" s="6"/>
      <c r="I504" s="5" t="str">
        <f t="shared" si="14"/>
        <v>❌ FAIL - Wrong length (0/16 chars)</v>
      </c>
      <c r="J504" s="5" t="e">
        <f>_xlfn.LET(
  _xlpm.cf, UPPER(E504),
  _xlpm.data, D504,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04" s="5" t="e">
        <f t="shared" si="25"/>
        <v>#VALUE!</v>
      </c>
      <c r="L504" s="5" t="str">
        <f t="shared" si="26"/>
        <v xml:space="preserve">❌ FAIL - 8/50 points (1/6) - Expected: XXXXX, Found: </v>
      </c>
      <c r="M504" s="5" t="s">
        <v>24</v>
      </c>
      <c r="N504" s="5" t="s">
        <v>28</v>
      </c>
    </row>
    <row r="505" spans="1:15" ht="13">
      <c r="A505" s="5"/>
      <c r="B505" s="5"/>
      <c r="C505" s="5"/>
      <c r="D505" s="5"/>
      <c r="E505" s="5"/>
      <c r="G505" s="5" t="str">
        <f t="shared" si="24"/>
        <v>❌ FAILED: 6.4% - This person has probably not the right Codice Fiscale</v>
      </c>
      <c r="H505" s="6"/>
      <c r="I505" s="5" t="str">
        <f t="shared" si="14"/>
        <v>❌ FAIL - Wrong length (0/16 chars)</v>
      </c>
      <c r="J505" s="5" t="e">
        <f>_xlfn.LET(
  _xlpm.cf, UPPER(E505),
  _xlpm.data, D505,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05" s="5" t="e">
        <f t="shared" si="25"/>
        <v>#VALUE!</v>
      </c>
      <c r="L505" s="5" t="str">
        <f t="shared" si="26"/>
        <v xml:space="preserve">❌ FAIL - 8/50 points (1/6) - Expected: XXXXX, Found: </v>
      </c>
      <c r="M505" s="5" t="s">
        <v>24</v>
      </c>
      <c r="N505" s="5" t="s">
        <v>28</v>
      </c>
    </row>
    <row r="506" spans="1:15" ht="13">
      <c r="A506" s="5"/>
      <c r="B506" s="5"/>
      <c r="C506" s="5"/>
      <c r="D506" s="5"/>
      <c r="E506" s="5"/>
      <c r="G506" s="5" t="str">
        <f t="shared" si="24"/>
        <v>❌ FAILED: 6.4% - This person has probably not the right Codice Fiscale</v>
      </c>
      <c r="H506" s="6"/>
      <c r="I506" s="5" t="str">
        <f t="shared" si="14"/>
        <v>❌ FAIL - Wrong length (0/16 chars)</v>
      </c>
      <c r="J506" s="5" t="e">
        <f>_xlfn.LET(
  _xlpm.cf, UPPER(E506),
  _xlpm.data, D506,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06" s="5" t="e">
        <f t="shared" si="25"/>
        <v>#VALUE!</v>
      </c>
      <c r="L506" s="5" t="str">
        <f t="shared" si="26"/>
        <v xml:space="preserve">❌ FAIL - 8/50 points (1/6) - Expected: XXXXX, Found: </v>
      </c>
      <c r="M506" s="5" t="s">
        <v>24</v>
      </c>
      <c r="N506" s="5" t="s">
        <v>28</v>
      </c>
    </row>
    <row r="507" spans="1:15" ht="13">
      <c r="A507" s="5"/>
      <c r="B507" s="5"/>
      <c r="C507" s="5"/>
      <c r="D507" s="5"/>
      <c r="E507" s="5"/>
      <c r="G507" s="5" t="str">
        <f t="shared" si="24"/>
        <v>❌ FAILED: 6.4% - This person has probably not the right Codice Fiscale</v>
      </c>
      <c r="H507" s="6"/>
      <c r="I507" s="5" t="str">
        <f t="shared" si="14"/>
        <v>❌ FAIL - Wrong length (0/16 chars)</v>
      </c>
      <c r="J507" s="5" t="e">
        <f>_xlfn.LET(
  _xlpm.cf, UPPER(E507),
  _xlpm.data, D507,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07" s="5" t="e">
        <f t="shared" si="25"/>
        <v>#VALUE!</v>
      </c>
      <c r="L507" s="5" t="str">
        <f t="shared" si="26"/>
        <v xml:space="preserve">❌ FAIL - 8/50 points (1/6) - Expected: XXXXX, Found: </v>
      </c>
      <c r="M507" s="5" t="s">
        <v>24</v>
      </c>
      <c r="N507" s="5" t="s">
        <v>28</v>
      </c>
    </row>
    <row r="508" spans="1:15" ht="13">
      <c r="A508" s="5"/>
      <c r="B508" s="5"/>
      <c r="C508" s="5"/>
      <c r="D508" s="5"/>
      <c r="E508" s="5"/>
      <c r="G508" s="5" t="str">
        <f t="shared" si="24"/>
        <v>❌ FAILED: 6.4% - This person has probably not the right Codice Fiscale</v>
      </c>
      <c r="H508" s="6"/>
      <c r="I508" s="5" t="str">
        <f t="shared" si="14"/>
        <v>❌ FAIL - Wrong length (0/16 chars)</v>
      </c>
      <c r="J508" s="5" t="e">
        <f>_xlfn.LET(
  _xlpm.cf, UPPER(E508),
  _xlpm.data, D508,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08" s="5" t="e">
        <f t="shared" si="25"/>
        <v>#VALUE!</v>
      </c>
      <c r="L508" s="5" t="str">
        <f t="shared" si="26"/>
        <v xml:space="preserve">❌ FAIL - 8/50 points (1/6) - Expected: XXXXX, Found: </v>
      </c>
      <c r="M508" s="5" t="s">
        <v>24</v>
      </c>
      <c r="N508" s="5" t="s">
        <v>28</v>
      </c>
    </row>
    <row r="509" spans="1:15" ht="13">
      <c r="A509" s="5"/>
      <c r="B509" s="5"/>
      <c r="C509" s="5"/>
      <c r="D509" s="5"/>
      <c r="E509" s="5"/>
      <c r="G509" s="5" t="str">
        <f t="shared" si="24"/>
        <v>❌ FAILED: 6.4% - This person has probably not the right Codice Fiscale</v>
      </c>
      <c r="H509" s="6"/>
      <c r="I509" s="5" t="str">
        <f t="shared" si="14"/>
        <v>❌ FAIL - Wrong length (0/16 chars)</v>
      </c>
      <c r="J509" s="5" t="e">
        <f>_xlfn.LET(
  _xlpm.cf, UPPER(E509),
  _xlpm.data, D509,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09" s="5" t="e">
        <f t="shared" si="25"/>
        <v>#VALUE!</v>
      </c>
      <c r="L509" s="5" t="str">
        <f t="shared" si="26"/>
        <v xml:space="preserve">❌ FAIL - 8/50 points (1/6) - Expected: XXXXX, Found: </v>
      </c>
      <c r="M509" s="5" t="s">
        <v>24</v>
      </c>
      <c r="N509" s="5" t="s">
        <v>28</v>
      </c>
    </row>
    <row r="510" spans="1:15" ht="13">
      <c r="A510" s="5"/>
      <c r="B510" s="5"/>
      <c r="C510" s="5"/>
      <c r="D510" s="5"/>
      <c r="E510" s="5"/>
      <c r="G510" s="5" t="str">
        <f t="shared" si="24"/>
        <v>❌ FAILED: 6.4% - This person has probably not the right Codice Fiscale</v>
      </c>
      <c r="H510" s="6"/>
      <c r="I510" s="5" t="str">
        <f t="shared" si="14"/>
        <v>❌ FAIL - Wrong length (0/16 chars)</v>
      </c>
      <c r="J510" s="5" t="e">
        <f>_xlfn.LET(
  _xlpm.cf, UPPER(E510),
  _xlpm.data, D510,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10" s="5" t="e">
        <f t="shared" si="25"/>
        <v>#VALUE!</v>
      </c>
      <c r="L510" s="5" t="str">
        <f t="shared" si="26"/>
        <v xml:space="preserve">❌ FAIL - 8/50 points (1/6) - Expected: XXXXX, Found: </v>
      </c>
      <c r="M510" s="5" t="s">
        <v>24</v>
      </c>
      <c r="N510" s="5" t="s">
        <v>28</v>
      </c>
    </row>
    <row r="511" spans="1:15" ht="13">
      <c r="A511" s="5"/>
      <c r="B511" s="5"/>
      <c r="C511" s="5"/>
      <c r="D511" s="5"/>
      <c r="E511" s="5"/>
      <c r="G511" s="5" t="str">
        <f t="shared" si="24"/>
        <v>❌ FAILED: 6.4% - This person has probably not the right Codice Fiscale</v>
      </c>
      <c r="H511" s="6"/>
      <c r="I511" s="5" t="str">
        <f t="shared" si="14"/>
        <v>❌ FAIL - Wrong length (0/16 chars)</v>
      </c>
      <c r="J511" s="5" t="e">
        <f>_xlfn.LET(
  _xlpm.cf, UPPER(E511),
  _xlpm.data, D511,
  _xlpm.mesi, {"A","B","C","D","E","H","L","M","P","R","S","T"},
  _xlpm.anno_cf, MID(_xlfn.SINGLE(_xlpm.cf),7,2),
  _xlpm.mese_cf, MID(_xlfn.SINGLE(_xlpm.cf),9,1),
  _xlpm.giorno_cf, VALUE(MID(_xlfn.SINGLE(_xlpm.cf),10,2)),
  _xlpm.anno_atteso, RIGHT(YEAR(_xlfn.SINGLE(_xlpm.data)),2),
  _xlpm.mese_atteso, INDEX(_xlpm.mesi, MONTH(_xlfn.SINGLE(_xlpm.data))),
  _xlpm.giorno_atteso, DAY(_xlfn.SINGLE(_xlpm.data)),
  _xlpm.anno_ok,_xlfn.SINGLE( _xlpm.anno_cf) =_xlfn.SINGLE( _xlpm.anno_atteso),
  _xlpm.mese_ok,_xlfn.SINGLE( _xlpm.mese_cf) =_xlfn.SINGLE( _xlpm.mese_atteso),
  _xlpm.giorno_ok, OR(_xlfn.SINGLE(_xlpm.giorno_cf) =_xlfn.SINGLE( _xlpm.giorno_atteso),_xlfn.SINGLE( _xlpm.giorno_cf) =_xlfn.SINGLE( _xlpm.giorno_atteso) + 40),
  IF(AND(_xlpm.anno_ok, _xlpm.mese_ok, _xlpm.giorno_ok),
    "✅ PASS - Date matches (" &amp;_xlfn.SINGLE( _xlpm.anno_cf) &amp;_xlfn.SINGLE( _xlpm.mese_cf) &amp;_xlfn.SINGLE( _xlpm.giorno_cf) &amp; ")",
    "❌ FAIL - Date mismatch (Expected: " &amp;_xlfn.SINGLE( _xlpm.anno_atteso) &amp;_xlfn.SINGLE( _xlpm.mese_atteso) &amp;_xlfn.SINGLE( _xlpm.giorno_atteso) &amp; ", Found: " &amp;_xlfn.SINGLE( _xlpm.anno_cf) &amp;_xlfn.SINGLE( _xlpm.mese_cf) &amp;_xlfn.SINGLE( _xlpm.giorno_cf) &amp; ")")
)</f>
        <v>#VALUE!</v>
      </c>
      <c r="K511" s="5" t="e">
        <f t="shared" si="25"/>
        <v>#VALUE!</v>
      </c>
      <c r="L511" s="5" t="str">
        <f t="shared" si="26"/>
        <v xml:space="preserve">❌ FAIL - 8/50 points (1/6) - Expected: XXXXX, Found: </v>
      </c>
      <c r="M511" s="5" t="s">
        <v>24</v>
      </c>
      <c r="N511" s="5" t="s">
        <v>28</v>
      </c>
    </row>
    <row r="512" spans="1:15" ht="15.75" hidden="1" customHeight="1">
      <c r="M512" s="5" t="s">
        <v>24</v>
      </c>
      <c r="N512" s="5" t="s">
        <v>28</v>
      </c>
      <c r="O512" t="s">
        <v>26</v>
      </c>
    </row>
    <row r="513" spans="13:15" ht="15.75" hidden="1" customHeight="1">
      <c r="M513" s="5" t="s">
        <v>24</v>
      </c>
      <c r="N513" s="5" t="s">
        <v>28</v>
      </c>
      <c r="O513" t="s">
        <v>26</v>
      </c>
    </row>
    <row r="514" spans="13:15" ht="15.75" hidden="1" customHeight="1">
      <c r="M514" s="5" t="s">
        <v>24</v>
      </c>
      <c r="N514" s="5" t="s">
        <v>28</v>
      </c>
      <c r="O514" t="s">
        <v>26</v>
      </c>
    </row>
    <row r="515" spans="13:15" ht="15.75" hidden="1" customHeight="1">
      <c r="M515" s="5" t="s">
        <v>24</v>
      </c>
      <c r="N515" s="5" t="s">
        <v>28</v>
      </c>
      <c r="O515" t="s">
        <v>26</v>
      </c>
    </row>
    <row r="516" spans="13:15" ht="15.75" hidden="1" customHeight="1">
      <c r="M516" s="5" t="s">
        <v>24</v>
      </c>
      <c r="N516" s="5" t="s">
        <v>28</v>
      </c>
      <c r="O516" t="s">
        <v>26</v>
      </c>
    </row>
    <row r="517" spans="13:15" ht="15.75" hidden="1" customHeight="1">
      <c r="M517" s="5" t="s">
        <v>24</v>
      </c>
      <c r="N517" s="5" t="s">
        <v>28</v>
      </c>
      <c r="O517" t="s">
        <v>26</v>
      </c>
    </row>
    <row r="518" spans="13:15" ht="15.75" hidden="1" customHeight="1">
      <c r="M518" s="5" t="s">
        <v>24</v>
      </c>
      <c r="N518" s="5" t="s">
        <v>28</v>
      </c>
      <c r="O518" t="s">
        <v>26</v>
      </c>
    </row>
    <row r="519" spans="13:15" ht="15.75" hidden="1" customHeight="1">
      <c r="M519" s="5" t="s">
        <v>24</v>
      </c>
      <c r="N519" s="5" t="s">
        <v>28</v>
      </c>
      <c r="O519" t="s">
        <v>26</v>
      </c>
    </row>
    <row r="520" spans="13:15" ht="15.75" hidden="1" customHeight="1">
      <c r="M520" s="5" t="s">
        <v>24</v>
      </c>
      <c r="N520" s="5" t="s">
        <v>28</v>
      </c>
      <c r="O520" t="s">
        <v>26</v>
      </c>
    </row>
    <row r="521" spans="13:15" ht="15.75" hidden="1" customHeight="1">
      <c r="M521" s="5" t="s">
        <v>24</v>
      </c>
      <c r="N521" s="5" t="s">
        <v>28</v>
      </c>
      <c r="O521" t="s">
        <v>26</v>
      </c>
    </row>
    <row r="522" spans="13:15" ht="15.75" hidden="1" customHeight="1">
      <c r="M522" s="5" t="s">
        <v>24</v>
      </c>
      <c r="N522" s="5" t="s">
        <v>28</v>
      </c>
      <c r="O522" t="s">
        <v>26</v>
      </c>
    </row>
    <row r="523" spans="13:15" ht="15.75" hidden="1" customHeight="1">
      <c r="M523" s="5" t="s">
        <v>24</v>
      </c>
      <c r="N523" s="5" t="s">
        <v>28</v>
      </c>
      <c r="O523" t="s">
        <v>26</v>
      </c>
    </row>
    <row r="524" spans="13:15" ht="15.75" hidden="1" customHeight="1">
      <c r="M524" s="5" t="s">
        <v>24</v>
      </c>
      <c r="N524" s="5" t="s">
        <v>28</v>
      </c>
      <c r="O524" t="s">
        <v>26</v>
      </c>
    </row>
    <row r="525" spans="13:15" ht="15.75" hidden="1" customHeight="1">
      <c r="M525" s="5" t="s">
        <v>24</v>
      </c>
      <c r="N525" s="5" t="s">
        <v>28</v>
      </c>
      <c r="O525" t="s">
        <v>26</v>
      </c>
    </row>
    <row r="526" spans="13:15" ht="15.75" hidden="1" customHeight="1">
      <c r="M526" s="5" t="s">
        <v>24</v>
      </c>
      <c r="N526" s="5" t="s">
        <v>28</v>
      </c>
      <c r="O526" t="s">
        <v>26</v>
      </c>
    </row>
    <row r="527" spans="13:15" ht="15.75" hidden="1" customHeight="1">
      <c r="M527" s="5" t="s">
        <v>24</v>
      </c>
      <c r="N527" s="5" t="s">
        <v>28</v>
      </c>
      <c r="O527" t="s">
        <v>26</v>
      </c>
    </row>
    <row r="528" spans="13:15" ht="15.75" hidden="1" customHeight="1">
      <c r="M528" s="5" t="s">
        <v>24</v>
      </c>
      <c r="N528" s="5" t="s">
        <v>28</v>
      </c>
      <c r="O528" t="s">
        <v>26</v>
      </c>
    </row>
    <row r="529" spans="13:15" ht="15.75" hidden="1" customHeight="1">
      <c r="M529" s="5" t="s">
        <v>24</v>
      </c>
      <c r="N529" s="5" t="s">
        <v>28</v>
      </c>
      <c r="O529" t="s">
        <v>26</v>
      </c>
    </row>
    <row r="530" spans="13:15" ht="15.75" hidden="1" customHeight="1">
      <c r="M530" s="5" t="s">
        <v>24</v>
      </c>
      <c r="N530" s="5" t="s">
        <v>28</v>
      </c>
      <c r="O530" t="s">
        <v>26</v>
      </c>
    </row>
    <row r="531" spans="13:15" ht="15.75" hidden="1" customHeight="1">
      <c r="M531" s="5" t="s">
        <v>24</v>
      </c>
      <c r="N531" s="5" t="s">
        <v>28</v>
      </c>
      <c r="O531" t="s">
        <v>26</v>
      </c>
    </row>
    <row r="532" spans="13:15" ht="15.75" hidden="1" customHeight="1">
      <c r="M532" s="5" t="s">
        <v>24</v>
      </c>
      <c r="N532" s="5" t="s">
        <v>28</v>
      </c>
      <c r="O532" t="s">
        <v>26</v>
      </c>
    </row>
    <row r="533" spans="13:15" ht="15.75" hidden="1" customHeight="1">
      <c r="M533" s="5" t="s">
        <v>24</v>
      </c>
      <c r="N533" s="5" t="s">
        <v>28</v>
      </c>
      <c r="O533" t="s">
        <v>26</v>
      </c>
    </row>
    <row r="534" spans="13:15" ht="15.75" hidden="1" customHeight="1">
      <c r="M534" s="5" t="s">
        <v>24</v>
      </c>
      <c r="N534" s="5" t="s">
        <v>28</v>
      </c>
      <c r="O534" t="s">
        <v>26</v>
      </c>
    </row>
    <row r="535" spans="13:15" ht="15.75" hidden="1" customHeight="1">
      <c r="M535" s="5" t="s">
        <v>24</v>
      </c>
      <c r="N535" s="5" t="s">
        <v>28</v>
      </c>
      <c r="O535" t="s">
        <v>26</v>
      </c>
    </row>
    <row r="536" spans="13:15" ht="15.75" hidden="1" customHeight="1">
      <c r="M536" s="5" t="s">
        <v>24</v>
      </c>
      <c r="N536" s="5" t="s">
        <v>28</v>
      </c>
      <c r="O536" t="s">
        <v>26</v>
      </c>
    </row>
    <row r="537" spans="13:15" ht="15.75" hidden="1" customHeight="1">
      <c r="M537" s="5" t="s">
        <v>24</v>
      </c>
      <c r="N537" s="5" t="s">
        <v>28</v>
      </c>
      <c r="O537" t="s">
        <v>26</v>
      </c>
    </row>
    <row r="538" spans="13:15" ht="15.75" hidden="1" customHeight="1">
      <c r="M538" s="5" t="s">
        <v>24</v>
      </c>
      <c r="N538" s="5" t="s">
        <v>28</v>
      </c>
      <c r="O538" t="s">
        <v>26</v>
      </c>
    </row>
    <row r="539" spans="13:15" ht="15.75" hidden="1" customHeight="1">
      <c r="M539" s="5" t="s">
        <v>24</v>
      </c>
      <c r="N539" s="5" t="s">
        <v>28</v>
      </c>
      <c r="O539" t="s">
        <v>26</v>
      </c>
    </row>
    <row r="540" spans="13:15" ht="15.75" hidden="1" customHeight="1">
      <c r="M540" s="5" t="s">
        <v>24</v>
      </c>
      <c r="N540" s="5" t="s">
        <v>28</v>
      </c>
      <c r="O540" t="s">
        <v>26</v>
      </c>
    </row>
    <row r="541" spans="13:15" ht="15.75" hidden="1" customHeight="1">
      <c r="M541" s="5" t="s">
        <v>24</v>
      </c>
      <c r="N541" s="5" t="s">
        <v>28</v>
      </c>
      <c r="O541" t="s">
        <v>26</v>
      </c>
    </row>
    <row r="542" spans="13:15" ht="15.75" hidden="1" customHeight="1">
      <c r="M542" s="5" t="s">
        <v>24</v>
      </c>
      <c r="N542" s="5" t="s">
        <v>28</v>
      </c>
      <c r="O542" t="s">
        <v>26</v>
      </c>
    </row>
    <row r="543" spans="13:15" ht="15.75" hidden="1" customHeight="1">
      <c r="M543" s="5" t="s">
        <v>24</v>
      </c>
      <c r="N543" s="5" t="s">
        <v>28</v>
      </c>
      <c r="O543" t="s">
        <v>26</v>
      </c>
    </row>
    <row r="544" spans="13:15" ht="15.75" hidden="1" customHeight="1">
      <c r="M544" s="5" t="s">
        <v>24</v>
      </c>
      <c r="N544" s="5" t="s">
        <v>28</v>
      </c>
      <c r="O544" t="s">
        <v>26</v>
      </c>
    </row>
    <row r="545" spans="13:15" ht="15.75" hidden="1" customHeight="1">
      <c r="M545" s="5" t="s">
        <v>24</v>
      </c>
      <c r="N545" s="5" t="s">
        <v>28</v>
      </c>
      <c r="O545" t="s">
        <v>26</v>
      </c>
    </row>
    <row r="546" spans="13:15" ht="15.75" hidden="1" customHeight="1">
      <c r="M546" s="5" t="s">
        <v>24</v>
      </c>
      <c r="N546" s="5" t="s">
        <v>28</v>
      </c>
      <c r="O546" t="s">
        <v>26</v>
      </c>
    </row>
    <row r="547" spans="13:15" ht="15.75" hidden="1" customHeight="1">
      <c r="M547" s="5" t="s">
        <v>24</v>
      </c>
      <c r="N547" s="5" t="s">
        <v>28</v>
      </c>
      <c r="O547" t="s">
        <v>26</v>
      </c>
    </row>
    <row r="548" spans="13:15" ht="15.75" hidden="1" customHeight="1">
      <c r="M548" s="5" t="s">
        <v>24</v>
      </c>
      <c r="N548" s="5" t="s">
        <v>28</v>
      </c>
      <c r="O548" t="s">
        <v>26</v>
      </c>
    </row>
    <row r="549" spans="13:15" ht="15.75" hidden="1" customHeight="1">
      <c r="M549" s="5" t="s">
        <v>24</v>
      </c>
      <c r="N549" s="5" t="s">
        <v>28</v>
      </c>
      <c r="O549" t="s">
        <v>26</v>
      </c>
    </row>
    <row r="550" spans="13:15" ht="15.75" hidden="1" customHeight="1">
      <c r="M550" s="5" t="s">
        <v>24</v>
      </c>
      <c r="N550" s="5" t="s">
        <v>28</v>
      </c>
      <c r="O550" t="s">
        <v>26</v>
      </c>
    </row>
    <row r="551" spans="13:15" ht="15.75" hidden="1" customHeight="1">
      <c r="M551" s="5" t="s">
        <v>24</v>
      </c>
      <c r="N551" s="5" t="s">
        <v>28</v>
      </c>
      <c r="O551" t="s">
        <v>26</v>
      </c>
    </row>
    <row r="552" spans="13:15" ht="15.75" hidden="1" customHeight="1">
      <c r="M552" s="5" t="s">
        <v>24</v>
      </c>
      <c r="N552" s="5" t="s">
        <v>28</v>
      </c>
      <c r="O552" t="s">
        <v>26</v>
      </c>
    </row>
    <row r="553" spans="13:15" ht="15.75" hidden="1" customHeight="1">
      <c r="M553" s="5" t="s">
        <v>24</v>
      </c>
      <c r="N553" s="5" t="s">
        <v>28</v>
      </c>
      <c r="O553" t="s">
        <v>26</v>
      </c>
    </row>
    <row r="554" spans="13:15" ht="15.75" hidden="1" customHeight="1">
      <c r="M554" s="5" t="s">
        <v>24</v>
      </c>
      <c r="N554" s="5" t="s">
        <v>28</v>
      </c>
      <c r="O554" t="s">
        <v>26</v>
      </c>
    </row>
    <row r="555" spans="13:15" ht="15.75" hidden="1" customHeight="1">
      <c r="M555" s="5" t="s">
        <v>24</v>
      </c>
      <c r="N555" s="5" t="s">
        <v>28</v>
      </c>
      <c r="O555" t="s">
        <v>26</v>
      </c>
    </row>
    <row r="556" spans="13:15" ht="15.75" hidden="1" customHeight="1">
      <c r="M556" s="5" t="s">
        <v>24</v>
      </c>
      <c r="N556" s="5" t="s">
        <v>28</v>
      </c>
      <c r="O556" t="s">
        <v>26</v>
      </c>
    </row>
    <row r="557" spans="13:15" ht="15.75" hidden="1" customHeight="1">
      <c r="M557" s="5" t="s">
        <v>24</v>
      </c>
      <c r="N557" s="5" t="s">
        <v>28</v>
      </c>
      <c r="O557" t="s">
        <v>26</v>
      </c>
    </row>
    <row r="558" spans="13:15" ht="15.75" hidden="1" customHeight="1">
      <c r="M558" s="5" t="s">
        <v>24</v>
      </c>
      <c r="N558" s="5" t="s">
        <v>28</v>
      </c>
      <c r="O558" t="s">
        <v>26</v>
      </c>
    </row>
    <row r="559" spans="13:15" ht="15.75" hidden="1" customHeight="1">
      <c r="M559" s="5" t="s">
        <v>24</v>
      </c>
      <c r="N559" s="5" t="s">
        <v>28</v>
      </c>
      <c r="O559" t="s">
        <v>26</v>
      </c>
    </row>
    <row r="560" spans="13:15" ht="15.75" hidden="1" customHeight="1">
      <c r="M560" s="5" t="s">
        <v>24</v>
      </c>
      <c r="N560" s="5" t="s">
        <v>28</v>
      </c>
      <c r="O560" t="s">
        <v>26</v>
      </c>
    </row>
    <row r="561" spans="13:15" ht="15.75" hidden="1" customHeight="1">
      <c r="M561" s="5" t="s">
        <v>24</v>
      </c>
      <c r="N561" s="5" t="s">
        <v>28</v>
      </c>
      <c r="O561" t="s">
        <v>26</v>
      </c>
    </row>
    <row r="562" spans="13:15" ht="15.75" hidden="1" customHeight="1">
      <c r="M562" s="5" t="s">
        <v>24</v>
      </c>
      <c r="N562" s="5" t="s">
        <v>28</v>
      </c>
      <c r="O562" t="s">
        <v>26</v>
      </c>
    </row>
    <row r="563" spans="13:15" ht="15.75" hidden="1" customHeight="1">
      <c r="M563" s="5" t="s">
        <v>24</v>
      </c>
      <c r="N563" s="5" t="s">
        <v>28</v>
      </c>
      <c r="O563" t="s">
        <v>26</v>
      </c>
    </row>
    <row r="564" spans="13:15" ht="15.75" hidden="1" customHeight="1">
      <c r="M564" s="5" t="s">
        <v>24</v>
      </c>
      <c r="N564" s="5" t="s">
        <v>28</v>
      </c>
      <c r="O564" t="s">
        <v>26</v>
      </c>
    </row>
    <row r="565" spans="13:15" ht="15.75" hidden="1" customHeight="1">
      <c r="M565" s="5" t="s">
        <v>24</v>
      </c>
      <c r="N565" s="5" t="s">
        <v>28</v>
      </c>
      <c r="O565" t="s">
        <v>26</v>
      </c>
    </row>
    <row r="566" spans="13:15" ht="15.75" hidden="1" customHeight="1">
      <c r="M566" s="5" t="s">
        <v>24</v>
      </c>
      <c r="N566" s="5" t="s">
        <v>28</v>
      </c>
      <c r="O566" t="s">
        <v>26</v>
      </c>
    </row>
    <row r="567" spans="13:15" ht="15.75" hidden="1" customHeight="1">
      <c r="M567" s="5" t="s">
        <v>24</v>
      </c>
      <c r="N567" s="5" t="s">
        <v>28</v>
      </c>
      <c r="O567" t="s">
        <v>26</v>
      </c>
    </row>
    <row r="568" spans="13:15" ht="15.75" hidden="1" customHeight="1">
      <c r="M568" s="5" t="s">
        <v>24</v>
      </c>
      <c r="N568" s="5" t="s">
        <v>28</v>
      </c>
      <c r="O568" t="s">
        <v>26</v>
      </c>
    </row>
    <row r="569" spans="13:15" ht="15.75" hidden="1" customHeight="1">
      <c r="M569" s="5" t="s">
        <v>24</v>
      </c>
      <c r="N569" s="5" t="s">
        <v>28</v>
      </c>
      <c r="O569" t="s">
        <v>26</v>
      </c>
    </row>
    <row r="570" spans="13:15" ht="15.75" hidden="1" customHeight="1">
      <c r="M570" s="5" t="s">
        <v>24</v>
      </c>
      <c r="N570" s="5" t="s">
        <v>28</v>
      </c>
      <c r="O570" t="s">
        <v>26</v>
      </c>
    </row>
    <row r="571" spans="13:15" ht="15.75" hidden="1" customHeight="1">
      <c r="M571" s="5" t="s">
        <v>24</v>
      </c>
      <c r="N571" s="5" t="s">
        <v>28</v>
      </c>
      <c r="O571" t="s">
        <v>26</v>
      </c>
    </row>
    <row r="572" spans="13:15" ht="15.75" hidden="1" customHeight="1">
      <c r="M572" s="5" t="s">
        <v>24</v>
      </c>
      <c r="N572" s="5" t="s">
        <v>28</v>
      </c>
      <c r="O572" t="s">
        <v>26</v>
      </c>
    </row>
    <row r="573" spans="13:15" ht="15.75" hidden="1" customHeight="1">
      <c r="M573" s="5" t="s">
        <v>24</v>
      </c>
      <c r="N573" s="5" t="s">
        <v>28</v>
      </c>
      <c r="O573" t="s">
        <v>26</v>
      </c>
    </row>
    <row r="574" spans="13:15" ht="15.75" hidden="1" customHeight="1">
      <c r="M574" s="5" t="s">
        <v>24</v>
      </c>
      <c r="N574" s="5" t="s">
        <v>28</v>
      </c>
      <c r="O574" t="s">
        <v>26</v>
      </c>
    </row>
    <row r="575" spans="13:15" ht="15.75" hidden="1" customHeight="1">
      <c r="M575" s="5" t="s">
        <v>24</v>
      </c>
      <c r="N575" s="5" t="s">
        <v>28</v>
      </c>
      <c r="O575" t="s">
        <v>26</v>
      </c>
    </row>
    <row r="576" spans="13:15" ht="15.75" hidden="1" customHeight="1">
      <c r="M576" s="5" t="s">
        <v>24</v>
      </c>
      <c r="N576" s="5" t="s">
        <v>28</v>
      </c>
      <c r="O576" t="s">
        <v>26</v>
      </c>
    </row>
    <row r="577" spans="13:15" ht="15.75" hidden="1" customHeight="1">
      <c r="M577" s="5" t="s">
        <v>24</v>
      </c>
      <c r="N577" s="5" t="s">
        <v>28</v>
      </c>
      <c r="O577" t="s">
        <v>26</v>
      </c>
    </row>
    <row r="578" spans="13:15" ht="15.75" hidden="1" customHeight="1">
      <c r="M578" s="5" t="s">
        <v>24</v>
      </c>
      <c r="N578" s="5" t="s">
        <v>28</v>
      </c>
      <c r="O578" t="s">
        <v>26</v>
      </c>
    </row>
    <row r="579" spans="13:15" ht="15.75" hidden="1" customHeight="1">
      <c r="M579" s="5" t="s">
        <v>24</v>
      </c>
      <c r="N579" s="5" t="s">
        <v>28</v>
      </c>
      <c r="O579" t="s">
        <v>26</v>
      </c>
    </row>
    <row r="580" spans="13:15" ht="15.75" hidden="1" customHeight="1">
      <c r="M580" s="5" t="s">
        <v>24</v>
      </c>
      <c r="N580" s="5" t="s">
        <v>28</v>
      </c>
      <c r="O580" t="s">
        <v>26</v>
      </c>
    </row>
    <row r="581" spans="13:15" ht="15.75" hidden="1" customHeight="1">
      <c r="M581" s="5" t="s">
        <v>24</v>
      </c>
      <c r="N581" s="5" t="s">
        <v>28</v>
      </c>
      <c r="O581" t="s">
        <v>26</v>
      </c>
    </row>
    <row r="582" spans="13:15" ht="15.75" hidden="1" customHeight="1">
      <c r="M582" s="5" t="s">
        <v>24</v>
      </c>
      <c r="N582" s="5" t="s">
        <v>28</v>
      </c>
      <c r="O582" t="s">
        <v>26</v>
      </c>
    </row>
    <row r="583" spans="13:15" ht="15.75" hidden="1" customHeight="1">
      <c r="M583" s="5" t="s">
        <v>24</v>
      </c>
      <c r="N583" s="5" t="s">
        <v>28</v>
      </c>
      <c r="O583" t="s">
        <v>26</v>
      </c>
    </row>
    <row r="584" spans="13:15" ht="15.75" hidden="1" customHeight="1">
      <c r="M584" s="5" t="s">
        <v>24</v>
      </c>
      <c r="N584" s="5" t="s">
        <v>28</v>
      </c>
      <c r="O584" t="s">
        <v>26</v>
      </c>
    </row>
    <row r="585" spans="13:15" ht="15.75" hidden="1" customHeight="1">
      <c r="M585" s="5" t="s">
        <v>24</v>
      </c>
      <c r="N585" s="5" t="s">
        <v>28</v>
      </c>
      <c r="O585" t="s">
        <v>26</v>
      </c>
    </row>
    <row r="586" spans="13:15" ht="15.75" hidden="1" customHeight="1">
      <c r="M586" s="5" t="s">
        <v>24</v>
      </c>
      <c r="N586" s="5" t="s">
        <v>28</v>
      </c>
      <c r="O586" t="s">
        <v>26</v>
      </c>
    </row>
    <row r="587" spans="13:15" ht="15.75" hidden="1" customHeight="1">
      <c r="M587" s="5" t="s">
        <v>24</v>
      </c>
      <c r="N587" s="5" t="s">
        <v>28</v>
      </c>
      <c r="O587" t="s">
        <v>26</v>
      </c>
    </row>
    <row r="588" spans="13:15" ht="15.75" hidden="1" customHeight="1">
      <c r="M588" s="5" t="s">
        <v>24</v>
      </c>
      <c r="N588" s="5" t="s">
        <v>28</v>
      </c>
      <c r="O588" t="s">
        <v>26</v>
      </c>
    </row>
    <row r="589" spans="13:15" ht="15.75" hidden="1" customHeight="1">
      <c r="M589" s="5" t="s">
        <v>24</v>
      </c>
      <c r="N589" s="5" t="s">
        <v>28</v>
      </c>
      <c r="O589" t="s">
        <v>26</v>
      </c>
    </row>
    <row r="590" spans="13:15" ht="15.75" hidden="1" customHeight="1">
      <c r="M590" s="5" t="s">
        <v>24</v>
      </c>
      <c r="N590" s="5" t="s">
        <v>28</v>
      </c>
      <c r="O590" t="s">
        <v>26</v>
      </c>
    </row>
    <row r="591" spans="13:15" ht="15.75" hidden="1" customHeight="1">
      <c r="M591" s="5" t="s">
        <v>24</v>
      </c>
      <c r="N591" s="5" t="s">
        <v>28</v>
      </c>
      <c r="O591" t="s">
        <v>26</v>
      </c>
    </row>
    <row r="592" spans="13:15" ht="15.75" hidden="1" customHeight="1">
      <c r="M592" s="5" t="s">
        <v>24</v>
      </c>
      <c r="N592" s="5" t="s">
        <v>28</v>
      </c>
      <c r="O592" t="s">
        <v>26</v>
      </c>
    </row>
    <row r="593" spans="13:15" ht="15.75" hidden="1" customHeight="1">
      <c r="M593" s="5" t="s">
        <v>24</v>
      </c>
      <c r="N593" s="5" t="s">
        <v>28</v>
      </c>
      <c r="O593" t="s">
        <v>26</v>
      </c>
    </row>
    <row r="594" spans="13:15" ht="15.75" hidden="1" customHeight="1">
      <c r="M594" s="5" t="s">
        <v>24</v>
      </c>
      <c r="N594" s="5" t="s">
        <v>28</v>
      </c>
      <c r="O594" t="s">
        <v>26</v>
      </c>
    </row>
    <row r="595" spans="13:15" ht="15.75" hidden="1" customHeight="1">
      <c r="M595" s="5" t="s">
        <v>24</v>
      </c>
      <c r="N595" s="5" t="s">
        <v>28</v>
      </c>
      <c r="O595" t="s">
        <v>26</v>
      </c>
    </row>
    <row r="596" spans="13:15" ht="15.75" hidden="1" customHeight="1">
      <c r="M596" s="5" t="s">
        <v>24</v>
      </c>
      <c r="N596" s="5" t="s">
        <v>28</v>
      </c>
      <c r="O596" t="s">
        <v>26</v>
      </c>
    </row>
    <row r="597" spans="13:15" ht="15.75" hidden="1" customHeight="1">
      <c r="M597" s="5" t="s">
        <v>24</v>
      </c>
      <c r="N597" s="5" t="s">
        <v>28</v>
      </c>
      <c r="O597" t="s">
        <v>26</v>
      </c>
    </row>
    <row r="598" spans="13:15" ht="15.75" hidden="1" customHeight="1">
      <c r="M598" s="5" t="s">
        <v>24</v>
      </c>
      <c r="N598" s="5" t="s">
        <v>28</v>
      </c>
      <c r="O598" t="s">
        <v>26</v>
      </c>
    </row>
    <row r="599" spans="13:15" ht="15.75" hidden="1" customHeight="1">
      <c r="M599" s="5" t="s">
        <v>24</v>
      </c>
      <c r="N599" s="5" t="s">
        <v>28</v>
      </c>
      <c r="O599" t="s">
        <v>26</v>
      </c>
    </row>
    <row r="600" spans="13:15" ht="15.75" hidden="1" customHeight="1">
      <c r="M600" s="5" t="s">
        <v>24</v>
      </c>
      <c r="N600" s="5" t="s">
        <v>28</v>
      </c>
      <c r="O600" t="s">
        <v>26</v>
      </c>
    </row>
    <row r="601" spans="13:15" ht="15.75" hidden="1" customHeight="1">
      <c r="M601" s="5" t="s">
        <v>24</v>
      </c>
      <c r="N601" s="5" t="s">
        <v>28</v>
      </c>
      <c r="O601" t="s">
        <v>26</v>
      </c>
    </row>
    <row r="602" spans="13:15" ht="15.75" hidden="1" customHeight="1">
      <c r="M602" s="5" t="s">
        <v>24</v>
      </c>
      <c r="N602" s="5" t="s">
        <v>28</v>
      </c>
      <c r="O602" t="s">
        <v>26</v>
      </c>
    </row>
    <row r="603" spans="13:15" ht="15.75" hidden="1" customHeight="1">
      <c r="M603" s="5" t="s">
        <v>24</v>
      </c>
      <c r="N603" s="5" t="s">
        <v>28</v>
      </c>
      <c r="O603" t="s">
        <v>26</v>
      </c>
    </row>
    <row r="604" spans="13:15" ht="15.75" hidden="1" customHeight="1">
      <c r="M604" s="5" t="s">
        <v>24</v>
      </c>
      <c r="N604" s="5" t="s">
        <v>28</v>
      </c>
      <c r="O604" t="s">
        <v>26</v>
      </c>
    </row>
    <row r="605" spans="13:15" ht="15.75" hidden="1" customHeight="1">
      <c r="M605" s="5" t="s">
        <v>24</v>
      </c>
      <c r="N605" s="5" t="s">
        <v>28</v>
      </c>
      <c r="O605" t="s">
        <v>26</v>
      </c>
    </row>
    <row r="606" spans="13:15" ht="15.75" hidden="1" customHeight="1">
      <c r="M606" s="5" t="s">
        <v>24</v>
      </c>
      <c r="N606" s="5" t="s">
        <v>28</v>
      </c>
      <c r="O606" t="s">
        <v>26</v>
      </c>
    </row>
    <row r="607" spans="13:15" ht="15.75" hidden="1" customHeight="1">
      <c r="M607" s="5" t="s">
        <v>24</v>
      </c>
      <c r="N607" s="5" t="s">
        <v>28</v>
      </c>
      <c r="O607" t="s">
        <v>26</v>
      </c>
    </row>
    <row r="608" spans="13:15" ht="15.75" hidden="1" customHeight="1">
      <c r="M608" s="5" t="s">
        <v>24</v>
      </c>
      <c r="N608" s="5" t="s">
        <v>28</v>
      </c>
      <c r="O608" t="s">
        <v>26</v>
      </c>
    </row>
    <row r="609" spans="13:15" ht="15.75" hidden="1" customHeight="1">
      <c r="M609" s="5" t="s">
        <v>24</v>
      </c>
      <c r="N609" s="5" t="s">
        <v>28</v>
      </c>
      <c r="O609" t="s">
        <v>26</v>
      </c>
    </row>
    <row r="610" spans="13:15" ht="15.75" hidden="1" customHeight="1">
      <c r="M610" s="5" t="s">
        <v>24</v>
      </c>
      <c r="N610" s="5" t="s">
        <v>28</v>
      </c>
      <c r="O610" t="s">
        <v>26</v>
      </c>
    </row>
    <row r="611" spans="13:15" ht="15.75" hidden="1" customHeight="1">
      <c r="M611" s="5" t="s">
        <v>24</v>
      </c>
      <c r="N611" s="5" t="s">
        <v>28</v>
      </c>
      <c r="O611" t="s">
        <v>26</v>
      </c>
    </row>
    <row r="612" spans="13:15" ht="15.75" hidden="1" customHeight="1">
      <c r="M612" s="5" t="s">
        <v>24</v>
      </c>
      <c r="N612" s="5" t="s">
        <v>28</v>
      </c>
      <c r="O612" t="s">
        <v>26</v>
      </c>
    </row>
    <row r="613" spans="13:15" ht="15.75" hidden="1" customHeight="1">
      <c r="M613" s="5" t="s">
        <v>24</v>
      </c>
      <c r="N613" s="5" t="s">
        <v>28</v>
      </c>
      <c r="O613" t="s">
        <v>26</v>
      </c>
    </row>
    <row r="614" spans="13:15" ht="15.75" hidden="1" customHeight="1">
      <c r="M614" s="5" t="s">
        <v>24</v>
      </c>
      <c r="N614" s="5" t="s">
        <v>28</v>
      </c>
      <c r="O614" t="s">
        <v>26</v>
      </c>
    </row>
    <row r="615" spans="13:15" ht="15.75" hidden="1" customHeight="1">
      <c r="M615" s="5" t="s">
        <v>24</v>
      </c>
      <c r="N615" s="5" t="s">
        <v>28</v>
      </c>
      <c r="O615" t="s">
        <v>26</v>
      </c>
    </row>
    <row r="616" spans="13:15" ht="15.75" hidden="1" customHeight="1">
      <c r="M616" s="5" t="s">
        <v>24</v>
      </c>
      <c r="N616" s="5" t="s">
        <v>28</v>
      </c>
      <c r="O616" t="s">
        <v>26</v>
      </c>
    </row>
    <row r="617" spans="13:15" ht="15.75" hidden="1" customHeight="1">
      <c r="M617" s="5" t="s">
        <v>24</v>
      </c>
      <c r="N617" s="5" t="s">
        <v>28</v>
      </c>
      <c r="O617" t="s">
        <v>26</v>
      </c>
    </row>
    <row r="618" spans="13:15" ht="15.75" hidden="1" customHeight="1">
      <c r="M618" s="5" t="s">
        <v>24</v>
      </c>
      <c r="N618" s="5" t="s">
        <v>28</v>
      </c>
      <c r="O618" t="s">
        <v>26</v>
      </c>
    </row>
    <row r="619" spans="13:15" ht="15.75" hidden="1" customHeight="1">
      <c r="M619" s="5" t="s">
        <v>24</v>
      </c>
      <c r="N619" s="5" t="s">
        <v>28</v>
      </c>
      <c r="O619" t="s">
        <v>26</v>
      </c>
    </row>
    <row r="620" spans="13:15" ht="15.75" hidden="1" customHeight="1">
      <c r="M620" s="5" t="s">
        <v>24</v>
      </c>
      <c r="N620" s="5" t="s">
        <v>28</v>
      </c>
      <c r="O620" t="s">
        <v>26</v>
      </c>
    </row>
    <row r="621" spans="13:15" ht="15.75" hidden="1" customHeight="1">
      <c r="M621" s="5" t="s">
        <v>24</v>
      </c>
      <c r="N621" s="5" t="s">
        <v>28</v>
      </c>
      <c r="O621" t="s">
        <v>26</v>
      </c>
    </row>
    <row r="622" spans="13:15" ht="15.75" hidden="1" customHeight="1">
      <c r="M622" s="5" t="s">
        <v>24</v>
      </c>
      <c r="N622" s="5" t="s">
        <v>28</v>
      </c>
      <c r="O622" t="s">
        <v>26</v>
      </c>
    </row>
    <row r="623" spans="13:15" ht="15.75" hidden="1" customHeight="1">
      <c r="M623" s="5" t="s">
        <v>24</v>
      </c>
      <c r="N623" s="5" t="s">
        <v>28</v>
      </c>
      <c r="O623" t="s">
        <v>26</v>
      </c>
    </row>
    <row r="624" spans="13:15" ht="15.75" hidden="1" customHeight="1">
      <c r="M624" s="5" t="s">
        <v>24</v>
      </c>
      <c r="N624" s="5" t="s">
        <v>28</v>
      </c>
      <c r="O624" t="s">
        <v>26</v>
      </c>
    </row>
    <row r="625" spans="13:15" ht="15.75" hidden="1" customHeight="1">
      <c r="M625" s="5" t="s">
        <v>24</v>
      </c>
      <c r="N625" s="5" t="s">
        <v>28</v>
      </c>
      <c r="O625" t="s">
        <v>26</v>
      </c>
    </row>
    <row r="626" spans="13:15" ht="15.75" hidden="1" customHeight="1">
      <c r="M626" s="5" t="s">
        <v>24</v>
      </c>
      <c r="N626" s="5" t="s">
        <v>28</v>
      </c>
      <c r="O626" t="s">
        <v>26</v>
      </c>
    </row>
    <row r="627" spans="13:15" ht="15.75" hidden="1" customHeight="1">
      <c r="M627" s="5" t="s">
        <v>24</v>
      </c>
      <c r="N627" s="5" t="s">
        <v>28</v>
      </c>
      <c r="O627" t="s">
        <v>26</v>
      </c>
    </row>
    <row r="628" spans="13:15" ht="15.75" hidden="1" customHeight="1">
      <c r="M628" s="5" t="s">
        <v>24</v>
      </c>
      <c r="N628" s="5" t="s">
        <v>28</v>
      </c>
      <c r="O628" t="s">
        <v>26</v>
      </c>
    </row>
    <row r="629" spans="13:15" ht="15.75" hidden="1" customHeight="1">
      <c r="M629" s="5" t="s">
        <v>24</v>
      </c>
      <c r="N629" s="5" t="s">
        <v>28</v>
      </c>
      <c r="O629" t="s">
        <v>26</v>
      </c>
    </row>
    <row r="630" spans="13:15" ht="15.75" hidden="1" customHeight="1">
      <c r="M630" s="5" t="s">
        <v>24</v>
      </c>
      <c r="N630" s="5" t="s">
        <v>28</v>
      </c>
      <c r="O630" t="s">
        <v>26</v>
      </c>
    </row>
    <row r="631" spans="13:15" ht="15.75" hidden="1" customHeight="1">
      <c r="M631" s="5" t="s">
        <v>24</v>
      </c>
      <c r="N631" s="5" t="s">
        <v>28</v>
      </c>
      <c r="O631" t="s">
        <v>26</v>
      </c>
    </row>
    <row r="632" spans="13:15" ht="15.75" hidden="1" customHeight="1">
      <c r="M632" s="5" t="s">
        <v>24</v>
      </c>
      <c r="N632" s="5" t="s">
        <v>28</v>
      </c>
      <c r="O632" t="s">
        <v>26</v>
      </c>
    </row>
    <row r="633" spans="13:15" ht="15.75" hidden="1" customHeight="1">
      <c r="M633" s="5" t="s">
        <v>24</v>
      </c>
      <c r="N633" s="5" t="s">
        <v>28</v>
      </c>
      <c r="O633" t="s">
        <v>26</v>
      </c>
    </row>
    <row r="634" spans="13:15" ht="15.75" hidden="1" customHeight="1">
      <c r="M634" s="5" t="s">
        <v>24</v>
      </c>
      <c r="N634" s="5" t="s">
        <v>28</v>
      </c>
      <c r="O634" t="s">
        <v>26</v>
      </c>
    </row>
    <row r="635" spans="13:15" ht="15.75" hidden="1" customHeight="1">
      <c r="M635" s="5" t="s">
        <v>24</v>
      </c>
      <c r="N635" s="5" t="s">
        <v>28</v>
      </c>
      <c r="O635" t="s">
        <v>26</v>
      </c>
    </row>
    <row r="636" spans="13:15" ht="15.75" hidden="1" customHeight="1">
      <c r="M636" s="5" t="s">
        <v>24</v>
      </c>
      <c r="N636" s="5" t="s">
        <v>28</v>
      </c>
      <c r="O636" t="s">
        <v>26</v>
      </c>
    </row>
    <row r="637" spans="13:15" ht="15.75" hidden="1" customHeight="1">
      <c r="M637" s="5" t="s">
        <v>24</v>
      </c>
      <c r="N637" s="5" t="s">
        <v>28</v>
      </c>
      <c r="O637" t="s">
        <v>26</v>
      </c>
    </row>
    <row r="638" spans="13:15" ht="15.75" hidden="1" customHeight="1">
      <c r="M638" s="5" t="s">
        <v>24</v>
      </c>
      <c r="N638" s="5" t="s">
        <v>28</v>
      </c>
      <c r="O638" t="s">
        <v>26</v>
      </c>
    </row>
    <row r="639" spans="13:15" ht="15.75" hidden="1" customHeight="1">
      <c r="M639" s="5" t="s">
        <v>24</v>
      </c>
      <c r="N639" s="5" t="s">
        <v>28</v>
      </c>
      <c r="O639" t="s">
        <v>26</v>
      </c>
    </row>
    <row r="640" spans="13:15" ht="15.75" hidden="1" customHeight="1">
      <c r="M640" s="5" t="s">
        <v>24</v>
      </c>
      <c r="N640" s="5" t="s">
        <v>28</v>
      </c>
      <c r="O640" t="s">
        <v>26</v>
      </c>
    </row>
    <row r="641" spans="13:15" ht="15.75" hidden="1" customHeight="1">
      <c r="M641" s="5" t="s">
        <v>24</v>
      </c>
      <c r="N641" s="5" t="s">
        <v>28</v>
      </c>
      <c r="O641" t="s">
        <v>26</v>
      </c>
    </row>
    <row r="642" spans="13:15" ht="15.75" hidden="1" customHeight="1">
      <c r="M642" s="5" t="s">
        <v>24</v>
      </c>
      <c r="N642" s="5" t="s">
        <v>28</v>
      </c>
      <c r="O642" t="s">
        <v>26</v>
      </c>
    </row>
    <row r="643" spans="13:15" ht="15.75" hidden="1" customHeight="1">
      <c r="M643" s="5" t="s">
        <v>24</v>
      </c>
      <c r="N643" s="5" t="s">
        <v>28</v>
      </c>
      <c r="O643" t="s">
        <v>26</v>
      </c>
    </row>
    <row r="644" spans="13:15" ht="15.75" hidden="1" customHeight="1">
      <c r="M644" s="5" t="s">
        <v>24</v>
      </c>
      <c r="N644" s="5" t="s">
        <v>28</v>
      </c>
      <c r="O644" t="s">
        <v>26</v>
      </c>
    </row>
    <row r="645" spans="13:15" ht="15.75" hidden="1" customHeight="1">
      <c r="M645" s="5" t="s">
        <v>24</v>
      </c>
      <c r="N645" s="5" t="s">
        <v>28</v>
      </c>
      <c r="O645" t="s">
        <v>26</v>
      </c>
    </row>
    <row r="646" spans="13:15" ht="15.75" hidden="1" customHeight="1">
      <c r="M646" s="5" t="s">
        <v>24</v>
      </c>
      <c r="N646" s="5" t="s">
        <v>28</v>
      </c>
      <c r="O646" t="s">
        <v>26</v>
      </c>
    </row>
    <row r="647" spans="13:15" ht="15.75" hidden="1" customHeight="1">
      <c r="M647" s="5" t="s">
        <v>24</v>
      </c>
      <c r="N647" s="5" t="s">
        <v>28</v>
      </c>
      <c r="O647" t="s">
        <v>26</v>
      </c>
    </row>
    <row r="648" spans="13:15" ht="15.75" hidden="1" customHeight="1">
      <c r="M648" s="5" t="s">
        <v>24</v>
      </c>
      <c r="N648" s="5" t="s">
        <v>28</v>
      </c>
      <c r="O648" t="s">
        <v>26</v>
      </c>
    </row>
    <row r="649" spans="13:15" ht="15.75" hidden="1" customHeight="1">
      <c r="M649" s="5" t="s">
        <v>24</v>
      </c>
      <c r="N649" s="5" t="s">
        <v>28</v>
      </c>
      <c r="O649" t="s">
        <v>26</v>
      </c>
    </row>
    <row r="650" spans="13:15" ht="15.75" hidden="1" customHeight="1">
      <c r="M650" s="5" t="s">
        <v>24</v>
      </c>
      <c r="N650" s="5" t="s">
        <v>28</v>
      </c>
      <c r="O650" t="s">
        <v>26</v>
      </c>
    </row>
    <row r="651" spans="13:15" ht="15.75" hidden="1" customHeight="1">
      <c r="M651" s="5" t="s">
        <v>24</v>
      </c>
      <c r="N651" s="5" t="s">
        <v>28</v>
      </c>
      <c r="O651" t="s">
        <v>26</v>
      </c>
    </row>
    <row r="652" spans="13:15" ht="15.75" hidden="1" customHeight="1">
      <c r="M652" s="5" t="s">
        <v>24</v>
      </c>
      <c r="N652" s="5" t="s">
        <v>28</v>
      </c>
      <c r="O652" t="s">
        <v>26</v>
      </c>
    </row>
    <row r="653" spans="13:15" ht="15.75" hidden="1" customHeight="1">
      <c r="M653" s="5" t="s">
        <v>24</v>
      </c>
      <c r="N653" s="5" t="s">
        <v>28</v>
      </c>
      <c r="O653" t="s">
        <v>26</v>
      </c>
    </row>
    <row r="654" spans="13:15" ht="15.75" hidden="1" customHeight="1">
      <c r="M654" s="5" t="s">
        <v>24</v>
      </c>
      <c r="N654" s="5" t="s">
        <v>28</v>
      </c>
      <c r="O654" t="s">
        <v>26</v>
      </c>
    </row>
    <row r="655" spans="13:15" ht="15.75" hidden="1" customHeight="1">
      <c r="M655" s="5" t="s">
        <v>24</v>
      </c>
      <c r="N655" s="5" t="s">
        <v>28</v>
      </c>
      <c r="O655" t="s">
        <v>26</v>
      </c>
    </row>
    <row r="656" spans="13:15" ht="15.75" hidden="1" customHeight="1">
      <c r="M656" s="5" t="s">
        <v>24</v>
      </c>
      <c r="N656" s="5" t="s">
        <v>28</v>
      </c>
      <c r="O656" t="s">
        <v>26</v>
      </c>
    </row>
    <row r="657" spans="13:15" ht="15.75" hidden="1" customHeight="1">
      <c r="M657" s="5" t="s">
        <v>24</v>
      </c>
      <c r="N657" s="5" t="s">
        <v>28</v>
      </c>
      <c r="O657" t="s">
        <v>26</v>
      </c>
    </row>
    <row r="658" spans="13:15" ht="15.75" hidden="1" customHeight="1">
      <c r="M658" s="5" t="s">
        <v>24</v>
      </c>
      <c r="N658" s="5" t="s">
        <v>28</v>
      </c>
      <c r="O658" t="s">
        <v>26</v>
      </c>
    </row>
    <row r="659" spans="13:15" ht="15.75" hidden="1" customHeight="1">
      <c r="M659" s="5" t="s">
        <v>24</v>
      </c>
      <c r="N659" s="5" t="s">
        <v>28</v>
      </c>
      <c r="O659" t="s">
        <v>26</v>
      </c>
    </row>
    <row r="660" spans="13:15" ht="15.75" hidden="1" customHeight="1">
      <c r="M660" s="5" t="s">
        <v>24</v>
      </c>
      <c r="N660" s="5" t="s">
        <v>28</v>
      </c>
      <c r="O660" t="s">
        <v>26</v>
      </c>
    </row>
    <row r="661" spans="13:15" ht="15.75" hidden="1" customHeight="1">
      <c r="M661" s="5" t="s">
        <v>24</v>
      </c>
      <c r="N661" s="5" t="s">
        <v>28</v>
      </c>
      <c r="O661" t="s">
        <v>26</v>
      </c>
    </row>
    <row r="662" spans="13:15" ht="15.75" hidden="1" customHeight="1">
      <c r="M662" s="5" t="s">
        <v>24</v>
      </c>
      <c r="N662" s="5" t="s">
        <v>28</v>
      </c>
      <c r="O662" t="s">
        <v>26</v>
      </c>
    </row>
    <row r="663" spans="13:15" ht="15.75" hidden="1" customHeight="1">
      <c r="M663" s="5" t="s">
        <v>24</v>
      </c>
      <c r="N663" s="5" t="s">
        <v>28</v>
      </c>
      <c r="O663" t="s">
        <v>26</v>
      </c>
    </row>
    <row r="664" spans="13:15" ht="15.75" hidden="1" customHeight="1">
      <c r="M664" s="5" t="s">
        <v>24</v>
      </c>
      <c r="N664" s="5" t="s">
        <v>28</v>
      </c>
      <c r="O664" t="s">
        <v>26</v>
      </c>
    </row>
    <row r="665" spans="13:15" ht="15.75" hidden="1" customHeight="1">
      <c r="M665" s="5" t="s">
        <v>24</v>
      </c>
      <c r="N665" s="5" t="s">
        <v>28</v>
      </c>
      <c r="O665" t="s">
        <v>26</v>
      </c>
    </row>
    <row r="666" spans="13:15" ht="15.75" hidden="1" customHeight="1">
      <c r="M666" s="5" t="s">
        <v>24</v>
      </c>
      <c r="N666" s="5" t="s">
        <v>28</v>
      </c>
      <c r="O666" t="s">
        <v>26</v>
      </c>
    </row>
    <row r="667" spans="13:15" ht="15.75" hidden="1" customHeight="1">
      <c r="M667" s="5" t="s">
        <v>24</v>
      </c>
      <c r="N667" s="5" t="s">
        <v>28</v>
      </c>
      <c r="O667" t="s">
        <v>26</v>
      </c>
    </row>
    <row r="668" spans="13:15" ht="15.75" hidden="1" customHeight="1">
      <c r="M668" s="5" t="s">
        <v>24</v>
      </c>
      <c r="N668" s="5" t="s">
        <v>28</v>
      </c>
      <c r="O668" t="s">
        <v>26</v>
      </c>
    </row>
    <row r="669" spans="13:15" ht="15.75" hidden="1" customHeight="1">
      <c r="M669" s="5" t="s">
        <v>24</v>
      </c>
      <c r="N669" s="5" t="s">
        <v>28</v>
      </c>
      <c r="O669" t="s">
        <v>26</v>
      </c>
    </row>
    <row r="670" spans="13:15" ht="15.75" hidden="1" customHeight="1">
      <c r="M670" s="5" t="s">
        <v>24</v>
      </c>
      <c r="N670" s="5" t="s">
        <v>28</v>
      </c>
      <c r="O670" t="s">
        <v>26</v>
      </c>
    </row>
    <row r="671" spans="13:15" ht="15.75" hidden="1" customHeight="1">
      <c r="M671" s="5" t="s">
        <v>24</v>
      </c>
      <c r="N671" s="5" t="s">
        <v>28</v>
      </c>
      <c r="O671" t="s">
        <v>26</v>
      </c>
    </row>
    <row r="672" spans="13:15" ht="15.75" hidden="1" customHeight="1">
      <c r="M672" s="5" t="s">
        <v>24</v>
      </c>
      <c r="N672" s="5" t="s">
        <v>28</v>
      </c>
      <c r="O672" t="s">
        <v>26</v>
      </c>
    </row>
    <row r="673" spans="13:15" ht="15.75" hidden="1" customHeight="1">
      <c r="M673" s="5" t="s">
        <v>24</v>
      </c>
      <c r="N673" s="5" t="s">
        <v>28</v>
      </c>
      <c r="O673" t="s">
        <v>26</v>
      </c>
    </row>
    <row r="674" spans="13:15" ht="15.75" hidden="1" customHeight="1">
      <c r="M674" s="5" t="s">
        <v>24</v>
      </c>
      <c r="N674" s="5" t="s">
        <v>28</v>
      </c>
      <c r="O674" t="s">
        <v>26</v>
      </c>
    </row>
    <row r="675" spans="13:15" ht="15.75" hidden="1" customHeight="1">
      <c r="M675" s="5" t="s">
        <v>24</v>
      </c>
      <c r="N675" s="5" t="s">
        <v>28</v>
      </c>
      <c r="O675" t="s">
        <v>26</v>
      </c>
    </row>
    <row r="676" spans="13:15" ht="15.75" hidden="1" customHeight="1">
      <c r="M676" s="5" t="s">
        <v>24</v>
      </c>
      <c r="N676" s="5" t="s">
        <v>28</v>
      </c>
      <c r="O676" t="s">
        <v>26</v>
      </c>
    </row>
    <row r="677" spans="13:15" ht="15.75" hidden="1" customHeight="1">
      <c r="M677" s="5" t="s">
        <v>24</v>
      </c>
      <c r="N677" s="5" t="s">
        <v>28</v>
      </c>
      <c r="O677" t="s">
        <v>26</v>
      </c>
    </row>
    <row r="678" spans="13:15" ht="15.75" hidden="1" customHeight="1">
      <c r="M678" s="5" t="s">
        <v>24</v>
      </c>
      <c r="N678" s="5" t="s">
        <v>28</v>
      </c>
      <c r="O678" t="s">
        <v>26</v>
      </c>
    </row>
    <row r="679" spans="13:15" ht="15.75" hidden="1" customHeight="1">
      <c r="M679" s="5" t="s">
        <v>24</v>
      </c>
      <c r="N679" s="5" t="s">
        <v>28</v>
      </c>
      <c r="O679" t="s">
        <v>26</v>
      </c>
    </row>
    <row r="680" spans="13:15" ht="15.75" hidden="1" customHeight="1">
      <c r="M680" s="5" t="s">
        <v>24</v>
      </c>
      <c r="N680" s="5" t="s">
        <v>28</v>
      </c>
      <c r="O680" t="s">
        <v>26</v>
      </c>
    </row>
    <row r="681" spans="13:15" ht="15.75" hidden="1" customHeight="1">
      <c r="M681" s="5" t="s">
        <v>24</v>
      </c>
      <c r="N681" s="5" t="s">
        <v>28</v>
      </c>
      <c r="O681" t="s">
        <v>26</v>
      </c>
    </row>
    <row r="682" spans="13:15" ht="15.75" hidden="1" customHeight="1">
      <c r="M682" s="5" t="s">
        <v>24</v>
      </c>
      <c r="N682" s="5" t="s">
        <v>28</v>
      </c>
      <c r="O682" t="s">
        <v>26</v>
      </c>
    </row>
    <row r="683" spans="13:15" ht="15.75" hidden="1" customHeight="1">
      <c r="M683" s="5" t="s">
        <v>24</v>
      </c>
      <c r="N683" s="5" t="s">
        <v>28</v>
      </c>
      <c r="O683" t="s">
        <v>26</v>
      </c>
    </row>
    <row r="684" spans="13:15" ht="15.75" hidden="1" customHeight="1">
      <c r="M684" s="5" t="s">
        <v>24</v>
      </c>
      <c r="N684" s="5" t="s">
        <v>28</v>
      </c>
      <c r="O684" t="s">
        <v>26</v>
      </c>
    </row>
    <row r="685" spans="13:15" ht="15.75" hidden="1" customHeight="1">
      <c r="M685" s="5" t="s">
        <v>24</v>
      </c>
      <c r="N685" s="5" t="s">
        <v>28</v>
      </c>
      <c r="O685" t="s">
        <v>26</v>
      </c>
    </row>
    <row r="686" spans="13:15" ht="15.75" hidden="1" customHeight="1">
      <c r="M686" s="5" t="s">
        <v>24</v>
      </c>
      <c r="N686" s="5" t="s">
        <v>28</v>
      </c>
      <c r="O686" t="s">
        <v>26</v>
      </c>
    </row>
    <row r="687" spans="13:15" ht="15.75" hidden="1" customHeight="1">
      <c r="M687" s="5" t="s">
        <v>24</v>
      </c>
      <c r="N687" s="5" t="s">
        <v>28</v>
      </c>
      <c r="O687" t="s">
        <v>26</v>
      </c>
    </row>
    <row r="688" spans="13:15" ht="15.75" hidden="1" customHeight="1">
      <c r="M688" s="5" t="s">
        <v>24</v>
      </c>
      <c r="N688" s="5" t="s">
        <v>28</v>
      </c>
      <c r="O688" t="s">
        <v>26</v>
      </c>
    </row>
    <row r="689" spans="13:15" ht="15.75" hidden="1" customHeight="1">
      <c r="M689" s="5" t="s">
        <v>24</v>
      </c>
      <c r="N689" s="5" t="s">
        <v>28</v>
      </c>
      <c r="O689" t="s">
        <v>26</v>
      </c>
    </row>
    <row r="690" spans="13:15" ht="15.75" hidden="1" customHeight="1">
      <c r="M690" s="5" t="s">
        <v>24</v>
      </c>
      <c r="N690" s="5" t="s">
        <v>28</v>
      </c>
      <c r="O690" t="s">
        <v>26</v>
      </c>
    </row>
    <row r="691" spans="13:15" ht="15.75" hidden="1" customHeight="1">
      <c r="M691" s="5" t="s">
        <v>24</v>
      </c>
      <c r="N691" s="5" t="s">
        <v>28</v>
      </c>
      <c r="O691" t="s">
        <v>26</v>
      </c>
    </row>
    <row r="692" spans="13:15" ht="15.75" hidden="1" customHeight="1">
      <c r="M692" s="5" t="s">
        <v>24</v>
      </c>
      <c r="N692" s="5" t="s">
        <v>28</v>
      </c>
      <c r="O692" t="s">
        <v>26</v>
      </c>
    </row>
    <row r="693" spans="13:15" ht="15.75" hidden="1" customHeight="1">
      <c r="M693" s="5" t="s">
        <v>24</v>
      </c>
      <c r="N693" s="5" t="s">
        <v>28</v>
      </c>
      <c r="O693" t="s">
        <v>26</v>
      </c>
    </row>
    <row r="694" spans="13:15" ht="15.75" hidden="1" customHeight="1">
      <c r="M694" s="5" t="s">
        <v>24</v>
      </c>
      <c r="N694" s="5" t="s">
        <v>28</v>
      </c>
      <c r="O694" t="s">
        <v>26</v>
      </c>
    </row>
    <row r="695" spans="13:15" ht="15.75" hidden="1" customHeight="1">
      <c r="M695" s="5" t="s">
        <v>24</v>
      </c>
      <c r="N695" s="5" t="s">
        <v>28</v>
      </c>
      <c r="O695" t="s">
        <v>26</v>
      </c>
    </row>
    <row r="696" spans="13:15" ht="15.75" hidden="1" customHeight="1">
      <c r="M696" s="5" t="s">
        <v>24</v>
      </c>
      <c r="N696" s="5" t="s">
        <v>28</v>
      </c>
      <c r="O696" t="s">
        <v>26</v>
      </c>
    </row>
    <row r="697" spans="13:15" ht="15.75" hidden="1" customHeight="1">
      <c r="M697" s="5" t="s">
        <v>24</v>
      </c>
      <c r="N697" s="5" t="s">
        <v>28</v>
      </c>
      <c r="O697" t="s">
        <v>26</v>
      </c>
    </row>
    <row r="698" spans="13:15" ht="15.75" hidden="1" customHeight="1">
      <c r="M698" s="5" t="s">
        <v>24</v>
      </c>
      <c r="N698" s="5" t="s">
        <v>28</v>
      </c>
      <c r="O698" t="s">
        <v>26</v>
      </c>
    </row>
    <row r="699" spans="13:15" ht="15.75" hidden="1" customHeight="1">
      <c r="M699" s="5" t="s">
        <v>24</v>
      </c>
      <c r="N699" s="5" t="s">
        <v>28</v>
      </c>
      <c r="O699" t="s">
        <v>26</v>
      </c>
    </row>
    <row r="700" spans="13:15" ht="15.75" hidden="1" customHeight="1">
      <c r="M700" s="5" t="s">
        <v>24</v>
      </c>
      <c r="N700" s="5" t="s">
        <v>28</v>
      </c>
      <c r="O700" t="s">
        <v>26</v>
      </c>
    </row>
    <row r="701" spans="13:15" ht="15.75" hidden="1" customHeight="1">
      <c r="M701" s="5" t="s">
        <v>24</v>
      </c>
      <c r="N701" s="5" t="s">
        <v>28</v>
      </c>
      <c r="O701" t="s">
        <v>26</v>
      </c>
    </row>
    <row r="702" spans="13:15" ht="15.75" hidden="1" customHeight="1">
      <c r="M702" s="5" t="s">
        <v>24</v>
      </c>
      <c r="N702" s="5" t="s">
        <v>28</v>
      </c>
      <c r="O702" t="s">
        <v>26</v>
      </c>
    </row>
    <row r="703" spans="13:15" ht="15.75" hidden="1" customHeight="1">
      <c r="M703" s="5" t="s">
        <v>24</v>
      </c>
      <c r="N703" s="5" t="s">
        <v>28</v>
      </c>
      <c r="O703" t="s">
        <v>26</v>
      </c>
    </row>
    <row r="704" spans="13:15" ht="15.75" hidden="1" customHeight="1">
      <c r="M704" s="5" t="s">
        <v>24</v>
      </c>
      <c r="N704" s="5" t="s">
        <v>28</v>
      </c>
      <c r="O704" t="s">
        <v>26</v>
      </c>
    </row>
    <row r="705" spans="13:15" ht="15.75" hidden="1" customHeight="1">
      <c r="M705" s="5" t="s">
        <v>24</v>
      </c>
      <c r="N705" s="5" t="s">
        <v>28</v>
      </c>
      <c r="O705" t="s">
        <v>26</v>
      </c>
    </row>
    <row r="706" spans="13:15" ht="15.75" hidden="1" customHeight="1">
      <c r="M706" s="5" t="s">
        <v>24</v>
      </c>
      <c r="N706" s="5" t="s">
        <v>28</v>
      </c>
      <c r="O706" t="s">
        <v>26</v>
      </c>
    </row>
    <row r="707" spans="13:15" ht="15.75" hidden="1" customHeight="1">
      <c r="M707" s="5" t="s">
        <v>24</v>
      </c>
      <c r="N707" s="5" t="s">
        <v>28</v>
      </c>
      <c r="O707" t="s">
        <v>26</v>
      </c>
    </row>
    <row r="708" spans="13:15" ht="15.75" hidden="1" customHeight="1">
      <c r="M708" s="5" t="s">
        <v>24</v>
      </c>
      <c r="N708" s="5" t="s">
        <v>28</v>
      </c>
      <c r="O708" t="s">
        <v>26</v>
      </c>
    </row>
    <row r="709" spans="13:15" ht="15.75" hidden="1" customHeight="1">
      <c r="M709" s="5" t="s">
        <v>24</v>
      </c>
      <c r="N709" s="5" t="s">
        <v>28</v>
      </c>
      <c r="O709" t="s">
        <v>26</v>
      </c>
    </row>
    <row r="710" spans="13:15" ht="15.75" hidden="1" customHeight="1">
      <c r="M710" s="5" t="s">
        <v>24</v>
      </c>
      <c r="N710" s="5" t="s">
        <v>28</v>
      </c>
      <c r="O710" t="s">
        <v>26</v>
      </c>
    </row>
    <row r="711" spans="13:15" ht="15.75" hidden="1" customHeight="1">
      <c r="M711" s="5" t="s">
        <v>24</v>
      </c>
      <c r="N711" s="5" t="s">
        <v>28</v>
      </c>
      <c r="O711" t="s">
        <v>26</v>
      </c>
    </row>
    <row r="712" spans="13:15" ht="15.75" hidden="1" customHeight="1">
      <c r="M712" s="5" t="s">
        <v>24</v>
      </c>
      <c r="N712" s="5" t="s">
        <v>28</v>
      </c>
      <c r="O712" t="s">
        <v>26</v>
      </c>
    </row>
    <row r="713" spans="13:15" ht="15.75" hidden="1" customHeight="1">
      <c r="M713" s="5" t="s">
        <v>24</v>
      </c>
      <c r="N713" s="5" t="s">
        <v>28</v>
      </c>
      <c r="O713" t="s">
        <v>26</v>
      </c>
    </row>
    <row r="714" spans="13:15" ht="15.75" hidden="1" customHeight="1">
      <c r="M714" s="5" t="s">
        <v>24</v>
      </c>
      <c r="N714" s="5" t="s">
        <v>28</v>
      </c>
      <c r="O714" t="s">
        <v>26</v>
      </c>
    </row>
    <row r="715" spans="13:15" ht="15.75" hidden="1" customHeight="1">
      <c r="M715" s="5" t="s">
        <v>24</v>
      </c>
      <c r="N715" s="5" t="s">
        <v>28</v>
      </c>
      <c r="O715" t="s">
        <v>26</v>
      </c>
    </row>
    <row r="716" spans="13:15" ht="15.75" hidden="1" customHeight="1">
      <c r="M716" s="5" t="s">
        <v>24</v>
      </c>
      <c r="N716" s="5" t="s">
        <v>28</v>
      </c>
      <c r="O716" t="s">
        <v>26</v>
      </c>
    </row>
    <row r="717" spans="13:15" ht="15.75" hidden="1" customHeight="1">
      <c r="M717" s="5" t="s">
        <v>24</v>
      </c>
      <c r="N717" s="5" t="s">
        <v>28</v>
      </c>
      <c r="O717" t="s">
        <v>26</v>
      </c>
    </row>
    <row r="718" spans="13:15" ht="15.75" hidden="1" customHeight="1">
      <c r="M718" s="5" t="s">
        <v>24</v>
      </c>
      <c r="N718" s="5" t="s">
        <v>28</v>
      </c>
      <c r="O718" t="s">
        <v>26</v>
      </c>
    </row>
    <row r="719" spans="13:15" ht="15.75" hidden="1" customHeight="1">
      <c r="M719" s="5" t="s">
        <v>24</v>
      </c>
      <c r="N719" s="5" t="s">
        <v>28</v>
      </c>
      <c r="O719" t="s">
        <v>26</v>
      </c>
    </row>
    <row r="720" spans="13:15" ht="15.75" hidden="1" customHeight="1">
      <c r="M720" s="5" t="s">
        <v>24</v>
      </c>
      <c r="N720" s="5" t="s">
        <v>28</v>
      </c>
      <c r="O720" t="s">
        <v>26</v>
      </c>
    </row>
    <row r="721" spans="13:15" ht="15.75" hidden="1" customHeight="1">
      <c r="M721" s="5" t="s">
        <v>24</v>
      </c>
      <c r="N721" s="5" t="s">
        <v>28</v>
      </c>
      <c r="O721" t="s">
        <v>26</v>
      </c>
    </row>
    <row r="722" spans="13:15" ht="15.75" hidden="1" customHeight="1">
      <c r="M722" s="5" t="s">
        <v>24</v>
      </c>
      <c r="N722" s="5" t="s">
        <v>28</v>
      </c>
      <c r="O722" t="s">
        <v>26</v>
      </c>
    </row>
    <row r="723" spans="13:15" ht="15.75" hidden="1" customHeight="1">
      <c r="M723" s="5" t="s">
        <v>24</v>
      </c>
      <c r="N723" s="5" t="s">
        <v>28</v>
      </c>
      <c r="O723" t="s">
        <v>26</v>
      </c>
    </row>
    <row r="724" spans="13:15" ht="15.75" hidden="1" customHeight="1">
      <c r="M724" s="5" t="s">
        <v>24</v>
      </c>
      <c r="N724" s="5" t="s">
        <v>28</v>
      </c>
      <c r="O724" t="s">
        <v>26</v>
      </c>
    </row>
    <row r="725" spans="13:15" ht="15.75" hidden="1" customHeight="1">
      <c r="M725" s="5" t="s">
        <v>24</v>
      </c>
      <c r="N725" s="5" t="s">
        <v>28</v>
      </c>
      <c r="O725" t="s">
        <v>26</v>
      </c>
    </row>
    <row r="726" spans="13:15" ht="15.75" hidden="1" customHeight="1">
      <c r="M726" s="5" t="s">
        <v>24</v>
      </c>
      <c r="N726" s="5" t="s">
        <v>28</v>
      </c>
      <c r="O726" t="s">
        <v>26</v>
      </c>
    </row>
    <row r="727" spans="13:15" ht="15.75" hidden="1" customHeight="1">
      <c r="M727" s="5" t="s">
        <v>24</v>
      </c>
      <c r="N727" s="5" t="s">
        <v>28</v>
      </c>
      <c r="O727" t="s">
        <v>26</v>
      </c>
    </row>
    <row r="728" spans="13:15" ht="15.75" hidden="1" customHeight="1">
      <c r="M728" s="5" t="s">
        <v>24</v>
      </c>
      <c r="N728" s="5" t="s">
        <v>28</v>
      </c>
      <c r="O728" t="s">
        <v>26</v>
      </c>
    </row>
    <row r="729" spans="13:15" ht="15.75" hidden="1" customHeight="1">
      <c r="M729" s="5" t="s">
        <v>24</v>
      </c>
      <c r="N729" s="5" t="s">
        <v>28</v>
      </c>
      <c r="O729" t="s">
        <v>26</v>
      </c>
    </row>
    <row r="730" spans="13:15" ht="15.75" hidden="1" customHeight="1">
      <c r="M730" s="5" t="s">
        <v>24</v>
      </c>
      <c r="N730" s="5" t="s">
        <v>28</v>
      </c>
      <c r="O730" t="s">
        <v>26</v>
      </c>
    </row>
    <row r="731" spans="13:15" ht="15.75" hidden="1" customHeight="1">
      <c r="M731" s="5" t="s">
        <v>24</v>
      </c>
      <c r="N731" s="5" t="s">
        <v>28</v>
      </c>
      <c r="O731" t="s">
        <v>26</v>
      </c>
    </row>
    <row r="732" spans="13:15" ht="15.75" hidden="1" customHeight="1">
      <c r="M732" s="5" t="s">
        <v>24</v>
      </c>
      <c r="N732" s="5" t="s">
        <v>28</v>
      </c>
      <c r="O732" t="s">
        <v>26</v>
      </c>
    </row>
    <row r="733" spans="13:15" ht="15.75" hidden="1" customHeight="1">
      <c r="M733" s="5" t="s">
        <v>24</v>
      </c>
      <c r="N733" s="5" t="s">
        <v>28</v>
      </c>
      <c r="O733" t="s">
        <v>26</v>
      </c>
    </row>
    <row r="734" spans="13:15" ht="15.75" hidden="1" customHeight="1">
      <c r="M734" s="5" t="s">
        <v>24</v>
      </c>
      <c r="N734" s="5" t="s">
        <v>28</v>
      </c>
      <c r="O734" t="s">
        <v>26</v>
      </c>
    </row>
    <row r="735" spans="13:15" ht="15.75" hidden="1" customHeight="1">
      <c r="M735" s="5" t="s">
        <v>24</v>
      </c>
      <c r="N735" s="5" t="s">
        <v>28</v>
      </c>
      <c r="O735" t="s">
        <v>26</v>
      </c>
    </row>
    <row r="736" spans="13:15" ht="15.75" hidden="1" customHeight="1">
      <c r="M736" s="5" t="s">
        <v>24</v>
      </c>
      <c r="N736" s="5" t="s">
        <v>28</v>
      </c>
      <c r="O736" t="s">
        <v>26</v>
      </c>
    </row>
    <row r="737" spans="13:15" ht="15.75" hidden="1" customHeight="1">
      <c r="M737" s="5" t="s">
        <v>24</v>
      </c>
      <c r="N737" s="5" t="s">
        <v>28</v>
      </c>
      <c r="O737" t="s">
        <v>26</v>
      </c>
    </row>
    <row r="738" spans="13:15" ht="15.75" hidden="1" customHeight="1">
      <c r="M738" s="5" t="s">
        <v>24</v>
      </c>
      <c r="N738" s="5" t="s">
        <v>28</v>
      </c>
      <c r="O738" t="s">
        <v>26</v>
      </c>
    </row>
    <row r="739" spans="13:15" ht="15.75" hidden="1" customHeight="1">
      <c r="M739" s="5" t="s">
        <v>24</v>
      </c>
      <c r="N739" s="5" t="s">
        <v>28</v>
      </c>
      <c r="O739" t="s">
        <v>26</v>
      </c>
    </row>
    <row r="740" spans="13:15" ht="15.75" hidden="1" customHeight="1">
      <c r="M740" s="5" t="s">
        <v>24</v>
      </c>
      <c r="N740" s="5" t="s">
        <v>28</v>
      </c>
      <c r="O740" t="s">
        <v>26</v>
      </c>
    </row>
    <row r="741" spans="13:15" ht="15.75" hidden="1" customHeight="1">
      <c r="M741" s="5" t="s">
        <v>24</v>
      </c>
      <c r="N741" s="5" t="s">
        <v>28</v>
      </c>
      <c r="O741" t="s">
        <v>26</v>
      </c>
    </row>
    <row r="742" spans="13:15" ht="15.75" hidden="1" customHeight="1">
      <c r="M742" s="5" t="s">
        <v>24</v>
      </c>
      <c r="N742" s="5" t="s">
        <v>28</v>
      </c>
      <c r="O742" t="s">
        <v>26</v>
      </c>
    </row>
    <row r="743" spans="13:15" ht="15.75" hidden="1" customHeight="1">
      <c r="M743" s="5" t="s">
        <v>24</v>
      </c>
      <c r="N743" s="5" t="s">
        <v>28</v>
      </c>
      <c r="O743" t="s">
        <v>26</v>
      </c>
    </row>
    <row r="744" spans="13:15" ht="15.75" hidden="1" customHeight="1">
      <c r="M744" s="5" t="s">
        <v>24</v>
      </c>
      <c r="N744" s="5" t="s">
        <v>28</v>
      </c>
      <c r="O744" t="s">
        <v>26</v>
      </c>
    </row>
    <row r="745" spans="13:15" ht="15.75" hidden="1" customHeight="1">
      <c r="M745" s="5" t="s">
        <v>24</v>
      </c>
      <c r="N745" s="5" t="s">
        <v>28</v>
      </c>
      <c r="O745" t="s">
        <v>26</v>
      </c>
    </row>
    <row r="746" spans="13:15" ht="15.75" hidden="1" customHeight="1">
      <c r="M746" s="5" t="s">
        <v>24</v>
      </c>
      <c r="N746" s="5" t="s">
        <v>28</v>
      </c>
      <c r="O746" t="s">
        <v>26</v>
      </c>
    </row>
    <row r="747" spans="13:15" ht="15.75" hidden="1" customHeight="1">
      <c r="M747" s="5" t="s">
        <v>24</v>
      </c>
      <c r="N747" s="5" t="s">
        <v>28</v>
      </c>
      <c r="O747" t="s">
        <v>26</v>
      </c>
    </row>
    <row r="748" spans="13:15" ht="15.75" hidden="1" customHeight="1">
      <c r="M748" s="5" t="s">
        <v>24</v>
      </c>
      <c r="N748" s="5" t="s">
        <v>28</v>
      </c>
      <c r="O748" t="s">
        <v>26</v>
      </c>
    </row>
    <row r="749" spans="13:15" ht="15.75" hidden="1" customHeight="1">
      <c r="M749" s="5" t="s">
        <v>24</v>
      </c>
      <c r="N749" s="5" t="s">
        <v>28</v>
      </c>
      <c r="O749" t="s">
        <v>26</v>
      </c>
    </row>
    <row r="750" spans="13:15" ht="15.75" hidden="1" customHeight="1">
      <c r="M750" s="5" t="s">
        <v>24</v>
      </c>
      <c r="N750" s="5" t="s">
        <v>28</v>
      </c>
      <c r="O750" t="s">
        <v>26</v>
      </c>
    </row>
    <row r="751" spans="13:15" ht="15.75" hidden="1" customHeight="1">
      <c r="M751" s="5" t="s">
        <v>24</v>
      </c>
      <c r="N751" s="5" t="s">
        <v>28</v>
      </c>
      <c r="O751" t="s">
        <v>26</v>
      </c>
    </row>
    <row r="752" spans="13:15" ht="15.75" hidden="1" customHeight="1">
      <c r="M752" s="5" t="s">
        <v>24</v>
      </c>
      <c r="N752" s="5" t="s">
        <v>28</v>
      </c>
      <c r="O752" t="s">
        <v>26</v>
      </c>
    </row>
    <row r="753" spans="13:15" ht="15.75" hidden="1" customHeight="1">
      <c r="M753" s="5" t="s">
        <v>24</v>
      </c>
      <c r="N753" s="5" t="s">
        <v>28</v>
      </c>
      <c r="O753" t="s">
        <v>26</v>
      </c>
    </row>
    <row r="754" spans="13:15" ht="15.75" hidden="1" customHeight="1">
      <c r="M754" s="5" t="s">
        <v>24</v>
      </c>
      <c r="N754" s="5" t="s">
        <v>28</v>
      </c>
      <c r="O754" t="s">
        <v>26</v>
      </c>
    </row>
    <row r="755" spans="13:15" ht="15.75" hidden="1" customHeight="1">
      <c r="M755" s="5" t="s">
        <v>24</v>
      </c>
      <c r="N755" s="5" t="s">
        <v>28</v>
      </c>
      <c r="O755" t="s">
        <v>26</v>
      </c>
    </row>
    <row r="756" spans="13:15" ht="15.75" hidden="1" customHeight="1">
      <c r="M756" s="5" t="s">
        <v>24</v>
      </c>
      <c r="N756" s="5" t="s">
        <v>28</v>
      </c>
      <c r="O756" t="s">
        <v>26</v>
      </c>
    </row>
    <row r="757" spans="13:15" ht="15.75" hidden="1" customHeight="1">
      <c r="M757" s="5" t="s">
        <v>24</v>
      </c>
      <c r="N757" s="5" t="s">
        <v>28</v>
      </c>
      <c r="O757" t="s">
        <v>26</v>
      </c>
    </row>
    <row r="758" spans="13:15" ht="15.75" hidden="1" customHeight="1">
      <c r="M758" s="5" t="s">
        <v>24</v>
      </c>
      <c r="N758" s="5" t="s">
        <v>28</v>
      </c>
      <c r="O758" t="s">
        <v>26</v>
      </c>
    </row>
    <row r="759" spans="13:15" ht="15.75" hidden="1" customHeight="1">
      <c r="M759" s="5" t="s">
        <v>24</v>
      </c>
      <c r="N759" s="5" t="s">
        <v>28</v>
      </c>
      <c r="O759" t="s">
        <v>26</v>
      </c>
    </row>
    <row r="760" spans="13:15" ht="15.75" hidden="1" customHeight="1">
      <c r="M760" s="5" t="s">
        <v>24</v>
      </c>
      <c r="N760" s="5" t="s">
        <v>28</v>
      </c>
      <c r="O760" t="s">
        <v>26</v>
      </c>
    </row>
    <row r="761" spans="13:15" ht="15.75" hidden="1" customHeight="1">
      <c r="M761" s="5" t="s">
        <v>24</v>
      </c>
      <c r="N761" s="5" t="s">
        <v>28</v>
      </c>
      <c r="O761" t="s">
        <v>26</v>
      </c>
    </row>
    <row r="762" spans="13:15" ht="15.75" hidden="1" customHeight="1">
      <c r="M762" s="5" t="s">
        <v>24</v>
      </c>
      <c r="N762" s="5" t="s">
        <v>28</v>
      </c>
      <c r="O762" t="s">
        <v>26</v>
      </c>
    </row>
    <row r="763" spans="13:15" ht="15.75" hidden="1" customHeight="1">
      <c r="M763" s="5" t="s">
        <v>24</v>
      </c>
      <c r="N763" s="5" t="s">
        <v>28</v>
      </c>
      <c r="O763" t="s">
        <v>26</v>
      </c>
    </row>
    <row r="764" spans="13:15" ht="15.75" hidden="1" customHeight="1">
      <c r="M764" s="5" t="s">
        <v>24</v>
      </c>
      <c r="N764" s="5" t="s">
        <v>28</v>
      </c>
      <c r="O764" t="s">
        <v>26</v>
      </c>
    </row>
    <row r="765" spans="13:15" ht="15.75" hidden="1" customHeight="1">
      <c r="M765" s="5" t="s">
        <v>24</v>
      </c>
      <c r="N765" s="5" t="s">
        <v>28</v>
      </c>
      <c r="O765" t="s">
        <v>26</v>
      </c>
    </row>
    <row r="766" spans="13:15" ht="15.75" hidden="1" customHeight="1">
      <c r="M766" s="5" t="s">
        <v>24</v>
      </c>
      <c r="N766" s="5" t="s">
        <v>28</v>
      </c>
      <c r="O766" t="s">
        <v>26</v>
      </c>
    </row>
    <row r="767" spans="13:15" ht="15.75" hidden="1" customHeight="1">
      <c r="M767" s="5" t="s">
        <v>24</v>
      </c>
      <c r="N767" s="5" t="s">
        <v>28</v>
      </c>
      <c r="O767" t="s">
        <v>26</v>
      </c>
    </row>
    <row r="768" spans="13:15" ht="15.75" hidden="1" customHeight="1">
      <c r="M768" s="5" t="s">
        <v>24</v>
      </c>
      <c r="N768" s="5" t="s">
        <v>28</v>
      </c>
      <c r="O768" t="s">
        <v>26</v>
      </c>
    </row>
    <row r="769" spans="13:15" ht="15.75" hidden="1" customHeight="1">
      <c r="M769" s="5" t="s">
        <v>24</v>
      </c>
      <c r="N769" s="5" t="s">
        <v>28</v>
      </c>
      <c r="O769" t="s">
        <v>26</v>
      </c>
    </row>
    <row r="770" spans="13:15" ht="15.75" hidden="1" customHeight="1">
      <c r="M770" s="5" t="s">
        <v>24</v>
      </c>
      <c r="N770" s="5" t="s">
        <v>28</v>
      </c>
      <c r="O770" t="s">
        <v>26</v>
      </c>
    </row>
    <row r="771" spans="13:15" ht="15.75" hidden="1" customHeight="1">
      <c r="M771" s="5" t="s">
        <v>24</v>
      </c>
      <c r="N771" s="5" t="s">
        <v>28</v>
      </c>
      <c r="O771" t="s">
        <v>26</v>
      </c>
    </row>
    <row r="772" spans="13:15" ht="15.75" hidden="1" customHeight="1">
      <c r="M772" s="5" t="s">
        <v>24</v>
      </c>
      <c r="N772" s="5" t="s">
        <v>28</v>
      </c>
      <c r="O772" t="s">
        <v>26</v>
      </c>
    </row>
    <row r="773" spans="13:15" ht="15.75" hidden="1" customHeight="1">
      <c r="M773" s="5" t="s">
        <v>24</v>
      </c>
      <c r="N773" s="5" t="s">
        <v>28</v>
      </c>
      <c r="O773" t="s">
        <v>26</v>
      </c>
    </row>
    <row r="774" spans="13:15" ht="15.75" hidden="1" customHeight="1">
      <c r="M774" s="5" t="s">
        <v>24</v>
      </c>
      <c r="N774" s="5" t="s">
        <v>28</v>
      </c>
      <c r="O774" t="s">
        <v>26</v>
      </c>
    </row>
    <row r="775" spans="13:15" ht="15.75" hidden="1" customHeight="1">
      <c r="M775" s="5" t="s">
        <v>24</v>
      </c>
      <c r="N775" s="5" t="s">
        <v>28</v>
      </c>
      <c r="O775" t="s">
        <v>26</v>
      </c>
    </row>
    <row r="776" spans="13:15" ht="15.75" hidden="1" customHeight="1">
      <c r="M776" s="5" t="s">
        <v>24</v>
      </c>
      <c r="N776" s="5" t="s">
        <v>28</v>
      </c>
      <c r="O776" t="s">
        <v>26</v>
      </c>
    </row>
    <row r="777" spans="13:15" ht="15.75" hidden="1" customHeight="1">
      <c r="M777" s="5" t="s">
        <v>24</v>
      </c>
      <c r="N777" s="5" t="s">
        <v>28</v>
      </c>
      <c r="O777" t="s">
        <v>26</v>
      </c>
    </row>
    <row r="778" spans="13:15" ht="15.75" hidden="1" customHeight="1">
      <c r="M778" s="5" t="s">
        <v>24</v>
      </c>
      <c r="N778" s="5" t="s">
        <v>28</v>
      </c>
      <c r="O778" t="s">
        <v>26</v>
      </c>
    </row>
    <row r="779" spans="13:15" ht="15.75" hidden="1" customHeight="1">
      <c r="M779" s="5" t="s">
        <v>24</v>
      </c>
      <c r="N779" s="5" t="s">
        <v>28</v>
      </c>
      <c r="O779" t="s">
        <v>26</v>
      </c>
    </row>
    <row r="780" spans="13:15" ht="15.75" hidden="1" customHeight="1">
      <c r="M780" s="5" t="s">
        <v>24</v>
      </c>
      <c r="N780" s="5" t="s">
        <v>28</v>
      </c>
      <c r="O780" t="s">
        <v>26</v>
      </c>
    </row>
    <row r="781" spans="13:15" ht="15.75" hidden="1" customHeight="1">
      <c r="M781" s="5" t="s">
        <v>24</v>
      </c>
      <c r="N781" s="5" t="s">
        <v>28</v>
      </c>
      <c r="O781" t="s">
        <v>26</v>
      </c>
    </row>
    <row r="782" spans="13:15" ht="15.75" hidden="1" customHeight="1">
      <c r="M782" s="5" t="s">
        <v>24</v>
      </c>
      <c r="N782" s="5" t="s">
        <v>28</v>
      </c>
      <c r="O782" t="s">
        <v>26</v>
      </c>
    </row>
    <row r="783" spans="13:15" ht="15.75" hidden="1" customHeight="1">
      <c r="M783" s="5" t="s">
        <v>24</v>
      </c>
      <c r="N783" s="5" t="s">
        <v>28</v>
      </c>
      <c r="O783" t="s">
        <v>26</v>
      </c>
    </row>
    <row r="784" spans="13:15" ht="15.75" hidden="1" customHeight="1">
      <c r="M784" s="5" t="s">
        <v>24</v>
      </c>
      <c r="N784" s="5" t="s">
        <v>28</v>
      </c>
      <c r="O784" t="s">
        <v>26</v>
      </c>
    </row>
    <row r="785" spans="13:15" ht="15.75" hidden="1" customHeight="1">
      <c r="M785" s="5" t="s">
        <v>24</v>
      </c>
      <c r="N785" s="5" t="s">
        <v>28</v>
      </c>
      <c r="O785" t="s">
        <v>26</v>
      </c>
    </row>
    <row r="786" spans="13:15" ht="15.75" hidden="1" customHeight="1">
      <c r="M786" s="5" t="s">
        <v>24</v>
      </c>
      <c r="N786" s="5" t="s">
        <v>28</v>
      </c>
      <c r="O786" t="s">
        <v>26</v>
      </c>
    </row>
    <row r="787" spans="13:15" ht="15.75" hidden="1" customHeight="1">
      <c r="M787" s="5" t="s">
        <v>24</v>
      </c>
      <c r="N787" s="5" t="s">
        <v>28</v>
      </c>
      <c r="O787" t="s">
        <v>26</v>
      </c>
    </row>
    <row r="788" spans="13:15" ht="15.75" hidden="1" customHeight="1">
      <c r="M788" s="5" t="s">
        <v>24</v>
      </c>
      <c r="N788" s="5" t="s">
        <v>28</v>
      </c>
      <c r="O788" t="s">
        <v>26</v>
      </c>
    </row>
    <row r="789" spans="13:15" ht="15.75" hidden="1" customHeight="1">
      <c r="M789" s="5" t="s">
        <v>24</v>
      </c>
      <c r="N789" s="5" t="s">
        <v>28</v>
      </c>
      <c r="O789" t="s">
        <v>26</v>
      </c>
    </row>
    <row r="790" spans="13:15" ht="15.75" hidden="1" customHeight="1">
      <c r="M790" s="5" t="s">
        <v>24</v>
      </c>
      <c r="N790" s="5" t="s">
        <v>28</v>
      </c>
      <c r="O790" t="s">
        <v>26</v>
      </c>
    </row>
    <row r="791" spans="13:15" ht="15.75" hidden="1" customHeight="1">
      <c r="M791" s="5" t="s">
        <v>24</v>
      </c>
      <c r="N791" s="5" t="s">
        <v>28</v>
      </c>
      <c r="O791" t="s">
        <v>26</v>
      </c>
    </row>
    <row r="792" spans="13:15" ht="15.75" hidden="1" customHeight="1">
      <c r="M792" s="5" t="s">
        <v>24</v>
      </c>
      <c r="N792" s="5" t="s">
        <v>28</v>
      </c>
      <c r="O792" t="s">
        <v>26</v>
      </c>
    </row>
    <row r="793" spans="13:15" ht="15.75" hidden="1" customHeight="1">
      <c r="M793" s="5" t="s">
        <v>24</v>
      </c>
      <c r="N793" s="5" t="s">
        <v>28</v>
      </c>
      <c r="O793" t="s">
        <v>26</v>
      </c>
    </row>
    <row r="794" spans="13:15" ht="15.75" hidden="1" customHeight="1">
      <c r="M794" s="5" t="s">
        <v>24</v>
      </c>
      <c r="N794" s="5" t="s">
        <v>28</v>
      </c>
      <c r="O794" t="s">
        <v>26</v>
      </c>
    </row>
    <row r="795" spans="13:15" ht="15.75" hidden="1" customHeight="1">
      <c r="M795" s="5" t="s">
        <v>24</v>
      </c>
      <c r="N795" s="5" t="s">
        <v>28</v>
      </c>
      <c r="O795" t="s">
        <v>26</v>
      </c>
    </row>
    <row r="796" spans="13:15" ht="15.75" hidden="1" customHeight="1">
      <c r="M796" s="5" t="s">
        <v>24</v>
      </c>
      <c r="N796" s="5" t="s">
        <v>28</v>
      </c>
      <c r="O796" t="s">
        <v>26</v>
      </c>
    </row>
    <row r="797" spans="13:15" ht="15.75" hidden="1" customHeight="1">
      <c r="M797" s="5" t="s">
        <v>24</v>
      </c>
      <c r="N797" s="5" t="s">
        <v>28</v>
      </c>
      <c r="O797" t="s">
        <v>26</v>
      </c>
    </row>
    <row r="798" spans="13:15" ht="15.75" hidden="1" customHeight="1">
      <c r="M798" s="5" t="s">
        <v>24</v>
      </c>
      <c r="N798" s="5" t="s">
        <v>28</v>
      </c>
      <c r="O798" t="s">
        <v>26</v>
      </c>
    </row>
    <row r="799" spans="13:15" ht="15.75" hidden="1" customHeight="1">
      <c r="M799" s="5" t="s">
        <v>24</v>
      </c>
      <c r="N799" s="5" t="s">
        <v>28</v>
      </c>
      <c r="O799" t="s">
        <v>26</v>
      </c>
    </row>
    <row r="800" spans="13:15" ht="15.75" hidden="1" customHeight="1">
      <c r="M800" s="5" t="s">
        <v>24</v>
      </c>
      <c r="N800" s="5" t="s">
        <v>28</v>
      </c>
      <c r="O800" t="s">
        <v>26</v>
      </c>
    </row>
    <row r="801" spans="13:15" ht="15.75" hidden="1" customHeight="1">
      <c r="M801" s="5" t="s">
        <v>24</v>
      </c>
      <c r="N801" s="5" t="s">
        <v>28</v>
      </c>
      <c r="O801" t="s">
        <v>26</v>
      </c>
    </row>
    <row r="802" spans="13:15" ht="15.75" hidden="1" customHeight="1">
      <c r="M802" s="5" t="s">
        <v>24</v>
      </c>
      <c r="N802" s="5" t="s">
        <v>28</v>
      </c>
      <c r="O802" t="s">
        <v>26</v>
      </c>
    </row>
    <row r="803" spans="13:15" ht="15.75" hidden="1" customHeight="1">
      <c r="M803" s="5" t="s">
        <v>24</v>
      </c>
      <c r="N803" s="5" t="s">
        <v>28</v>
      </c>
      <c r="O803" t="s">
        <v>26</v>
      </c>
    </row>
    <row r="804" spans="13:15" ht="15.75" hidden="1" customHeight="1">
      <c r="M804" s="5" t="s">
        <v>24</v>
      </c>
      <c r="N804" s="5" t="s">
        <v>28</v>
      </c>
      <c r="O804" t="s">
        <v>26</v>
      </c>
    </row>
    <row r="805" spans="13:15" ht="15.75" hidden="1" customHeight="1">
      <c r="M805" s="5" t="s">
        <v>24</v>
      </c>
      <c r="N805" s="5" t="s">
        <v>28</v>
      </c>
      <c r="O805" t="s">
        <v>26</v>
      </c>
    </row>
    <row r="806" spans="13:15" ht="15.75" hidden="1" customHeight="1">
      <c r="M806" s="5" t="s">
        <v>24</v>
      </c>
      <c r="N806" s="5" t="s">
        <v>28</v>
      </c>
      <c r="O806" t="s">
        <v>26</v>
      </c>
    </row>
    <row r="807" spans="13:15" ht="15.75" hidden="1" customHeight="1">
      <c r="M807" s="5" t="s">
        <v>24</v>
      </c>
      <c r="N807" s="5" t="s">
        <v>28</v>
      </c>
      <c r="O807" t="s">
        <v>26</v>
      </c>
    </row>
    <row r="808" spans="13:15" ht="15.75" hidden="1" customHeight="1">
      <c r="M808" s="5" t="s">
        <v>24</v>
      </c>
      <c r="N808" s="5" t="s">
        <v>28</v>
      </c>
      <c r="O808" t="s">
        <v>26</v>
      </c>
    </row>
    <row r="809" spans="13:15" ht="15.75" hidden="1" customHeight="1">
      <c r="M809" s="5" t="s">
        <v>24</v>
      </c>
      <c r="N809" s="5" t="s">
        <v>28</v>
      </c>
      <c r="O809" t="s">
        <v>26</v>
      </c>
    </row>
    <row r="810" spans="13:15" ht="15.75" hidden="1" customHeight="1">
      <c r="M810" s="5" t="s">
        <v>24</v>
      </c>
      <c r="N810" s="5" t="s">
        <v>28</v>
      </c>
      <c r="O810" t="s">
        <v>26</v>
      </c>
    </row>
    <row r="811" spans="13:15" ht="15.75" hidden="1" customHeight="1">
      <c r="M811" s="5" t="s">
        <v>24</v>
      </c>
      <c r="N811" s="5" t="s">
        <v>28</v>
      </c>
      <c r="O811" t="s">
        <v>26</v>
      </c>
    </row>
    <row r="812" spans="13:15" ht="15.75" hidden="1" customHeight="1">
      <c r="M812" s="5" t="s">
        <v>24</v>
      </c>
      <c r="N812" s="5" t="s">
        <v>28</v>
      </c>
      <c r="O812" t="s">
        <v>26</v>
      </c>
    </row>
    <row r="813" spans="13:15" ht="15.75" hidden="1" customHeight="1">
      <c r="M813" s="5" t="s">
        <v>24</v>
      </c>
      <c r="N813" s="5" t="s">
        <v>28</v>
      </c>
      <c r="O813" t="s">
        <v>26</v>
      </c>
    </row>
    <row r="814" spans="13:15" ht="15.75" hidden="1" customHeight="1">
      <c r="M814" s="5" t="s">
        <v>24</v>
      </c>
      <c r="N814" s="5" t="s">
        <v>28</v>
      </c>
      <c r="O814" t="s">
        <v>26</v>
      </c>
    </row>
    <row r="815" spans="13:15" ht="15.75" hidden="1" customHeight="1">
      <c r="M815" s="5" t="s">
        <v>24</v>
      </c>
      <c r="N815" s="5" t="s">
        <v>28</v>
      </c>
      <c r="O815" t="s">
        <v>26</v>
      </c>
    </row>
    <row r="816" spans="13:15" ht="15.75" hidden="1" customHeight="1">
      <c r="M816" s="5" t="s">
        <v>24</v>
      </c>
      <c r="N816" s="5" t="s">
        <v>28</v>
      </c>
      <c r="O816" t="s">
        <v>26</v>
      </c>
    </row>
    <row r="817" spans="13:15" ht="15.75" hidden="1" customHeight="1">
      <c r="M817" s="5" t="s">
        <v>24</v>
      </c>
      <c r="N817" s="5" t="s">
        <v>28</v>
      </c>
      <c r="O817" t="s">
        <v>26</v>
      </c>
    </row>
    <row r="818" spans="13:15" ht="15.75" hidden="1" customHeight="1">
      <c r="M818" s="5" t="s">
        <v>24</v>
      </c>
      <c r="N818" s="5" t="s">
        <v>28</v>
      </c>
      <c r="O818" t="s">
        <v>26</v>
      </c>
    </row>
    <row r="819" spans="13:15" ht="15.75" hidden="1" customHeight="1">
      <c r="M819" s="5" t="s">
        <v>24</v>
      </c>
      <c r="N819" s="5" t="s">
        <v>28</v>
      </c>
      <c r="O819" t="s">
        <v>26</v>
      </c>
    </row>
    <row r="820" spans="13:15" ht="15.75" hidden="1" customHeight="1">
      <c r="M820" s="5" t="s">
        <v>24</v>
      </c>
      <c r="N820" s="5" t="s">
        <v>28</v>
      </c>
      <c r="O820" t="s">
        <v>26</v>
      </c>
    </row>
    <row r="821" spans="13:15" ht="15.75" hidden="1" customHeight="1">
      <c r="M821" s="5" t="s">
        <v>24</v>
      </c>
      <c r="N821" s="5" t="s">
        <v>28</v>
      </c>
      <c r="O821" t="s">
        <v>26</v>
      </c>
    </row>
    <row r="822" spans="13:15" ht="15.75" hidden="1" customHeight="1">
      <c r="M822" s="5" t="s">
        <v>24</v>
      </c>
      <c r="N822" s="5" t="s">
        <v>28</v>
      </c>
      <c r="O822" t="s">
        <v>26</v>
      </c>
    </row>
    <row r="823" spans="13:15" ht="15.75" hidden="1" customHeight="1">
      <c r="M823" s="5" t="s">
        <v>24</v>
      </c>
      <c r="N823" s="5" t="s">
        <v>28</v>
      </c>
      <c r="O823" t="s">
        <v>26</v>
      </c>
    </row>
    <row r="824" spans="13:15" ht="15.75" hidden="1" customHeight="1">
      <c r="M824" s="5" t="s">
        <v>24</v>
      </c>
      <c r="N824" s="5" t="s">
        <v>28</v>
      </c>
      <c r="O824" t="s">
        <v>26</v>
      </c>
    </row>
    <row r="825" spans="13:15" ht="15.75" hidden="1" customHeight="1">
      <c r="M825" s="5" t="s">
        <v>24</v>
      </c>
      <c r="N825" s="5" t="s">
        <v>28</v>
      </c>
      <c r="O825" t="s">
        <v>26</v>
      </c>
    </row>
    <row r="826" spans="13:15" ht="15.75" hidden="1" customHeight="1">
      <c r="M826" s="5" t="s">
        <v>24</v>
      </c>
      <c r="N826" s="5" t="s">
        <v>28</v>
      </c>
      <c r="O826" t="s">
        <v>26</v>
      </c>
    </row>
    <row r="827" spans="13:15" ht="15.75" hidden="1" customHeight="1">
      <c r="M827" s="5" t="s">
        <v>24</v>
      </c>
      <c r="N827" s="5" t="s">
        <v>28</v>
      </c>
      <c r="O827" t="s">
        <v>26</v>
      </c>
    </row>
    <row r="828" spans="13:15" ht="15.75" hidden="1" customHeight="1">
      <c r="M828" s="5" t="s">
        <v>24</v>
      </c>
      <c r="N828" s="5" t="s">
        <v>28</v>
      </c>
      <c r="O828" t="s">
        <v>26</v>
      </c>
    </row>
    <row r="829" spans="13:15" ht="15.75" hidden="1" customHeight="1">
      <c r="M829" s="5" t="s">
        <v>24</v>
      </c>
      <c r="N829" s="5" t="s">
        <v>28</v>
      </c>
      <c r="O829" t="s">
        <v>26</v>
      </c>
    </row>
    <row r="830" spans="13:15" ht="15.75" hidden="1" customHeight="1">
      <c r="M830" s="5" t="s">
        <v>24</v>
      </c>
      <c r="N830" s="5" t="s">
        <v>28</v>
      </c>
      <c r="O830" t="s">
        <v>26</v>
      </c>
    </row>
    <row r="831" spans="13:15" ht="15.75" hidden="1" customHeight="1">
      <c r="M831" s="5" t="s">
        <v>24</v>
      </c>
      <c r="N831" s="5" t="s">
        <v>28</v>
      </c>
      <c r="O831" t="s">
        <v>26</v>
      </c>
    </row>
    <row r="832" spans="13:15" ht="15.75" hidden="1" customHeight="1">
      <c r="M832" s="5" t="s">
        <v>24</v>
      </c>
      <c r="N832" s="5" t="s">
        <v>28</v>
      </c>
      <c r="O832" t="s">
        <v>26</v>
      </c>
    </row>
    <row r="833" spans="13:15" ht="15.75" hidden="1" customHeight="1">
      <c r="M833" s="5" t="s">
        <v>24</v>
      </c>
      <c r="N833" s="5" t="s">
        <v>28</v>
      </c>
      <c r="O833" t="s">
        <v>26</v>
      </c>
    </row>
    <row r="834" spans="13:15" ht="15.75" hidden="1" customHeight="1">
      <c r="M834" s="5" t="s">
        <v>24</v>
      </c>
      <c r="N834" s="5" t="s">
        <v>28</v>
      </c>
      <c r="O834" t="s">
        <v>26</v>
      </c>
    </row>
    <row r="835" spans="13:15" ht="15.75" hidden="1" customHeight="1">
      <c r="M835" s="5" t="s">
        <v>24</v>
      </c>
      <c r="N835" s="5" t="s">
        <v>28</v>
      </c>
      <c r="O835" t="s">
        <v>26</v>
      </c>
    </row>
    <row r="836" spans="13:15" ht="15.75" hidden="1" customHeight="1">
      <c r="M836" s="5" t="s">
        <v>24</v>
      </c>
      <c r="N836" s="5" t="s">
        <v>28</v>
      </c>
      <c r="O836" t="s">
        <v>26</v>
      </c>
    </row>
    <row r="837" spans="13:15" ht="15.75" hidden="1" customHeight="1">
      <c r="M837" s="5" t="s">
        <v>24</v>
      </c>
      <c r="N837" s="5" t="s">
        <v>28</v>
      </c>
      <c r="O837" t="s">
        <v>26</v>
      </c>
    </row>
    <row r="838" spans="13:15" ht="15.75" hidden="1" customHeight="1">
      <c r="M838" s="5" t="s">
        <v>24</v>
      </c>
      <c r="N838" s="5" t="s">
        <v>28</v>
      </c>
      <c r="O838" t="s">
        <v>26</v>
      </c>
    </row>
    <row r="839" spans="13:15" ht="15.75" hidden="1" customHeight="1">
      <c r="M839" s="5" t="s">
        <v>24</v>
      </c>
      <c r="N839" s="5" t="s">
        <v>28</v>
      </c>
      <c r="O839" t="s">
        <v>26</v>
      </c>
    </row>
    <row r="840" spans="13:15" ht="15.75" hidden="1" customHeight="1">
      <c r="M840" s="5" t="s">
        <v>24</v>
      </c>
      <c r="N840" s="5" t="s">
        <v>28</v>
      </c>
      <c r="O840" t="s">
        <v>26</v>
      </c>
    </row>
    <row r="841" spans="13:15" ht="15.75" hidden="1" customHeight="1">
      <c r="M841" s="5" t="s">
        <v>24</v>
      </c>
      <c r="N841" s="5" t="s">
        <v>28</v>
      </c>
      <c r="O841" t="s">
        <v>26</v>
      </c>
    </row>
    <row r="842" spans="13:15" ht="15.75" hidden="1" customHeight="1">
      <c r="M842" s="5" t="s">
        <v>24</v>
      </c>
      <c r="N842" s="5" t="s">
        <v>28</v>
      </c>
      <c r="O842" t="s">
        <v>26</v>
      </c>
    </row>
    <row r="843" spans="13:15" ht="15.75" hidden="1" customHeight="1">
      <c r="M843" s="5" t="s">
        <v>24</v>
      </c>
      <c r="N843" s="5" t="s">
        <v>28</v>
      </c>
      <c r="O843" t="s">
        <v>26</v>
      </c>
    </row>
    <row r="844" spans="13:15" ht="15.75" hidden="1" customHeight="1">
      <c r="M844" s="5" t="s">
        <v>24</v>
      </c>
      <c r="N844" s="5" t="s">
        <v>28</v>
      </c>
      <c r="O844" t="s">
        <v>26</v>
      </c>
    </row>
    <row r="845" spans="13:15" ht="15.75" hidden="1" customHeight="1">
      <c r="M845" s="5" t="s">
        <v>24</v>
      </c>
      <c r="N845" s="5" t="s">
        <v>28</v>
      </c>
      <c r="O845" t="s">
        <v>26</v>
      </c>
    </row>
    <row r="846" spans="13:15" ht="15.75" hidden="1" customHeight="1">
      <c r="M846" s="5" t="s">
        <v>24</v>
      </c>
      <c r="N846" s="5" t="s">
        <v>28</v>
      </c>
      <c r="O846" t="s">
        <v>26</v>
      </c>
    </row>
    <row r="847" spans="13:15" ht="15.75" hidden="1" customHeight="1">
      <c r="M847" s="5" t="s">
        <v>24</v>
      </c>
      <c r="N847" s="5" t="s">
        <v>28</v>
      </c>
      <c r="O847" t="s">
        <v>26</v>
      </c>
    </row>
    <row r="848" spans="13:15" ht="15.75" hidden="1" customHeight="1">
      <c r="M848" s="5" t="s">
        <v>24</v>
      </c>
      <c r="N848" s="5" t="s">
        <v>28</v>
      </c>
      <c r="O848" t="s">
        <v>26</v>
      </c>
    </row>
    <row r="849" spans="13:15" ht="15.75" hidden="1" customHeight="1">
      <c r="M849" s="5" t="s">
        <v>24</v>
      </c>
      <c r="N849" s="5" t="s">
        <v>28</v>
      </c>
      <c r="O849" t="s">
        <v>26</v>
      </c>
    </row>
    <row r="850" spans="13:15" ht="15.75" hidden="1" customHeight="1">
      <c r="M850" s="5" t="s">
        <v>24</v>
      </c>
      <c r="N850" s="5" t="s">
        <v>28</v>
      </c>
      <c r="O850" t="s">
        <v>26</v>
      </c>
    </row>
    <row r="851" spans="13:15" ht="15.75" hidden="1" customHeight="1">
      <c r="M851" s="5" t="s">
        <v>24</v>
      </c>
      <c r="N851" s="5" t="s">
        <v>28</v>
      </c>
      <c r="O851" t="s">
        <v>26</v>
      </c>
    </row>
    <row r="852" spans="13:15" ht="15.75" hidden="1" customHeight="1">
      <c r="M852" s="5" t="s">
        <v>24</v>
      </c>
      <c r="N852" s="5" t="s">
        <v>28</v>
      </c>
      <c r="O852" t="s">
        <v>26</v>
      </c>
    </row>
    <row r="853" spans="13:15" ht="15.75" hidden="1" customHeight="1">
      <c r="M853" s="5" t="s">
        <v>24</v>
      </c>
      <c r="N853" s="5" t="s">
        <v>28</v>
      </c>
      <c r="O853" t="s">
        <v>26</v>
      </c>
    </row>
    <row r="854" spans="13:15" ht="15.75" hidden="1" customHeight="1">
      <c r="M854" s="5" t="s">
        <v>24</v>
      </c>
      <c r="N854" s="5" t="s">
        <v>28</v>
      </c>
      <c r="O854" t="s">
        <v>26</v>
      </c>
    </row>
    <row r="855" spans="13:15" ht="15.75" hidden="1" customHeight="1">
      <c r="M855" s="5" t="s">
        <v>24</v>
      </c>
      <c r="N855" s="5" t="s">
        <v>28</v>
      </c>
      <c r="O855" t="s">
        <v>26</v>
      </c>
    </row>
    <row r="856" spans="13:15" ht="15.75" hidden="1" customHeight="1">
      <c r="M856" s="5" t="s">
        <v>24</v>
      </c>
      <c r="N856" s="5" t="s">
        <v>28</v>
      </c>
      <c r="O856" t="s">
        <v>26</v>
      </c>
    </row>
    <row r="857" spans="13:15" ht="15.75" hidden="1" customHeight="1">
      <c r="M857" s="5" t="s">
        <v>24</v>
      </c>
      <c r="N857" s="5" t="s">
        <v>28</v>
      </c>
      <c r="O857" t="s">
        <v>26</v>
      </c>
    </row>
    <row r="858" spans="13:15" ht="15.75" hidden="1" customHeight="1">
      <c r="M858" s="5" t="s">
        <v>24</v>
      </c>
      <c r="N858" s="5" t="s">
        <v>28</v>
      </c>
      <c r="O858" t="s">
        <v>26</v>
      </c>
    </row>
    <row r="859" spans="13:15" ht="15.75" hidden="1" customHeight="1">
      <c r="M859" s="5" t="s">
        <v>24</v>
      </c>
      <c r="N859" s="5" t="s">
        <v>28</v>
      </c>
      <c r="O859" t="s">
        <v>26</v>
      </c>
    </row>
    <row r="860" spans="13:15" ht="15.75" hidden="1" customHeight="1">
      <c r="M860" s="5" t="s">
        <v>24</v>
      </c>
      <c r="N860" s="5" t="s">
        <v>28</v>
      </c>
      <c r="O860" t="s">
        <v>26</v>
      </c>
    </row>
    <row r="861" spans="13:15" ht="15.75" hidden="1" customHeight="1">
      <c r="M861" s="5" t="s">
        <v>24</v>
      </c>
      <c r="N861" s="5" t="s">
        <v>28</v>
      </c>
      <c r="O861" t="s">
        <v>26</v>
      </c>
    </row>
    <row r="862" spans="13:15" ht="15.75" hidden="1" customHeight="1">
      <c r="M862" s="5" t="s">
        <v>24</v>
      </c>
      <c r="N862" s="5" t="s">
        <v>28</v>
      </c>
      <c r="O862" t="s">
        <v>26</v>
      </c>
    </row>
    <row r="863" spans="13:15" ht="15.75" hidden="1" customHeight="1">
      <c r="M863" s="5" t="s">
        <v>24</v>
      </c>
      <c r="N863" s="5" t="s">
        <v>28</v>
      </c>
      <c r="O863" t="s">
        <v>26</v>
      </c>
    </row>
    <row r="864" spans="13:15" ht="15.75" hidden="1" customHeight="1">
      <c r="M864" s="5" t="s">
        <v>24</v>
      </c>
      <c r="N864" s="5" t="s">
        <v>28</v>
      </c>
      <c r="O864" t="s">
        <v>26</v>
      </c>
    </row>
    <row r="865" spans="13:15" ht="15.75" hidden="1" customHeight="1">
      <c r="M865" s="5" t="s">
        <v>24</v>
      </c>
      <c r="N865" s="5" t="s">
        <v>28</v>
      </c>
      <c r="O865" t="s">
        <v>26</v>
      </c>
    </row>
    <row r="866" spans="13:15" ht="15.75" hidden="1" customHeight="1">
      <c r="M866" s="5" t="s">
        <v>24</v>
      </c>
      <c r="N866" s="5" t="s">
        <v>28</v>
      </c>
      <c r="O866" t="s">
        <v>26</v>
      </c>
    </row>
    <row r="867" spans="13:15" ht="15.75" hidden="1" customHeight="1">
      <c r="M867" s="5" t="s">
        <v>24</v>
      </c>
      <c r="N867" s="5" t="s">
        <v>28</v>
      </c>
      <c r="O867" t="s">
        <v>26</v>
      </c>
    </row>
    <row r="868" spans="13:15" ht="15.75" hidden="1" customHeight="1">
      <c r="M868" s="5" t="s">
        <v>24</v>
      </c>
      <c r="N868" s="5" t="s">
        <v>28</v>
      </c>
      <c r="O868" t="s">
        <v>26</v>
      </c>
    </row>
    <row r="869" spans="13:15" ht="15.75" hidden="1" customHeight="1">
      <c r="M869" s="5" t="s">
        <v>24</v>
      </c>
      <c r="N869" s="5" t="s">
        <v>28</v>
      </c>
      <c r="O869" t="s">
        <v>26</v>
      </c>
    </row>
    <row r="870" spans="13:15" ht="15.75" hidden="1" customHeight="1">
      <c r="M870" s="5" t="s">
        <v>24</v>
      </c>
      <c r="N870" s="5" t="s">
        <v>28</v>
      </c>
      <c r="O870" t="s">
        <v>26</v>
      </c>
    </row>
    <row r="871" spans="13:15" ht="15.75" hidden="1" customHeight="1">
      <c r="M871" s="5" t="s">
        <v>24</v>
      </c>
      <c r="N871" s="5" t="s">
        <v>28</v>
      </c>
      <c r="O871" t="s">
        <v>26</v>
      </c>
    </row>
    <row r="872" spans="13:15" ht="15.75" hidden="1" customHeight="1">
      <c r="M872" s="5" t="s">
        <v>24</v>
      </c>
      <c r="N872" s="5" t="s">
        <v>28</v>
      </c>
      <c r="O872" t="s">
        <v>26</v>
      </c>
    </row>
    <row r="873" spans="13:15" ht="15.75" hidden="1" customHeight="1">
      <c r="M873" s="5" t="s">
        <v>24</v>
      </c>
      <c r="N873" s="5" t="s">
        <v>28</v>
      </c>
      <c r="O873" t="s">
        <v>26</v>
      </c>
    </row>
    <row r="874" spans="13:15" ht="15.75" hidden="1" customHeight="1">
      <c r="M874" s="5" t="s">
        <v>24</v>
      </c>
      <c r="N874" s="5" t="s">
        <v>28</v>
      </c>
      <c r="O874" t="s">
        <v>26</v>
      </c>
    </row>
    <row r="875" spans="13:15" ht="15.75" hidden="1" customHeight="1">
      <c r="M875" s="5" t="s">
        <v>24</v>
      </c>
      <c r="N875" s="5" t="s">
        <v>28</v>
      </c>
      <c r="O875" t="s">
        <v>26</v>
      </c>
    </row>
    <row r="876" spans="13:15" ht="15.75" hidden="1" customHeight="1">
      <c r="M876" s="5" t="s">
        <v>24</v>
      </c>
      <c r="N876" s="5" t="s">
        <v>28</v>
      </c>
      <c r="O876" t="s">
        <v>26</v>
      </c>
    </row>
    <row r="877" spans="13:15" ht="15.75" hidden="1" customHeight="1">
      <c r="M877" s="5" t="s">
        <v>24</v>
      </c>
      <c r="N877" s="5" t="s">
        <v>28</v>
      </c>
      <c r="O877" t="s">
        <v>26</v>
      </c>
    </row>
    <row r="878" spans="13:15" ht="15.75" hidden="1" customHeight="1">
      <c r="M878" s="5" t="s">
        <v>24</v>
      </c>
      <c r="N878" s="5" t="s">
        <v>28</v>
      </c>
      <c r="O878" t="s">
        <v>26</v>
      </c>
    </row>
    <row r="879" spans="13:15" ht="15.75" hidden="1" customHeight="1">
      <c r="M879" s="5" t="s">
        <v>24</v>
      </c>
      <c r="N879" s="5" t="s">
        <v>28</v>
      </c>
      <c r="O879" t="s">
        <v>26</v>
      </c>
    </row>
    <row r="880" spans="13:15" ht="15.75" hidden="1" customHeight="1">
      <c r="M880" s="5" t="s">
        <v>24</v>
      </c>
      <c r="N880" s="5" t="s">
        <v>28</v>
      </c>
      <c r="O880" t="s">
        <v>26</v>
      </c>
    </row>
    <row r="881" spans="13:15" ht="15.75" hidden="1" customHeight="1">
      <c r="M881" s="5" t="s">
        <v>24</v>
      </c>
      <c r="N881" s="5" t="s">
        <v>28</v>
      </c>
      <c r="O881" t="s">
        <v>26</v>
      </c>
    </row>
    <row r="882" spans="13:15" ht="15.75" hidden="1" customHeight="1">
      <c r="M882" s="5" t="s">
        <v>24</v>
      </c>
      <c r="N882" s="5" t="s">
        <v>28</v>
      </c>
      <c r="O882" t="s">
        <v>26</v>
      </c>
    </row>
    <row r="883" spans="13:15" ht="15.75" hidden="1" customHeight="1">
      <c r="M883" s="5" t="s">
        <v>24</v>
      </c>
      <c r="N883" s="5" t="s">
        <v>28</v>
      </c>
      <c r="O883" t="s">
        <v>26</v>
      </c>
    </row>
    <row r="884" spans="13:15" ht="15.75" hidden="1" customHeight="1">
      <c r="M884" s="5" t="s">
        <v>24</v>
      </c>
      <c r="N884" s="5" t="s">
        <v>28</v>
      </c>
      <c r="O884" t="s">
        <v>26</v>
      </c>
    </row>
    <row r="885" spans="13:15" ht="15.75" hidden="1" customHeight="1">
      <c r="M885" s="5" t="s">
        <v>24</v>
      </c>
      <c r="N885" s="5" t="s">
        <v>28</v>
      </c>
      <c r="O885" t="s">
        <v>26</v>
      </c>
    </row>
    <row r="886" spans="13:15" ht="15.75" hidden="1" customHeight="1">
      <c r="M886" s="5" t="s">
        <v>24</v>
      </c>
      <c r="N886" s="5" t="s">
        <v>28</v>
      </c>
      <c r="O886" t="s">
        <v>26</v>
      </c>
    </row>
    <row r="887" spans="13:15" ht="15.75" hidden="1" customHeight="1">
      <c r="M887" s="5" t="s">
        <v>24</v>
      </c>
      <c r="N887" s="5" t="s">
        <v>28</v>
      </c>
      <c r="O887" t="s">
        <v>26</v>
      </c>
    </row>
    <row r="888" spans="13:15" ht="15.75" hidden="1" customHeight="1">
      <c r="M888" s="5" t="s">
        <v>24</v>
      </c>
      <c r="N888" s="5" t="s">
        <v>28</v>
      </c>
      <c r="O888" t="s">
        <v>26</v>
      </c>
    </row>
    <row r="889" spans="13:15" ht="15.75" hidden="1" customHeight="1">
      <c r="M889" s="5" t="s">
        <v>24</v>
      </c>
      <c r="N889" s="5" t="s">
        <v>28</v>
      </c>
      <c r="O889" t="s">
        <v>26</v>
      </c>
    </row>
    <row r="890" spans="13:15" ht="15.75" hidden="1" customHeight="1">
      <c r="M890" s="5" t="s">
        <v>24</v>
      </c>
      <c r="N890" s="5" t="s">
        <v>28</v>
      </c>
      <c r="O890" t="s">
        <v>26</v>
      </c>
    </row>
    <row r="891" spans="13:15" ht="15.75" hidden="1" customHeight="1">
      <c r="M891" s="5" t="s">
        <v>24</v>
      </c>
      <c r="N891" s="5" t="s">
        <v>28</v>
      </c>
      <c r="O891" t="s">
        <v>26</v>
      </c>
    </row>
    <row r="892" spans="13:15" ht="15.75" hidden="1" customHeight="1">
      <c r="M892" s="5" t="s">
        <v>24</v>
      </c>
      <c r="N892" s="5" t="s">
        <v>28</v>
      </c>
      <c r="O892" t="s">
        <v>26</v>
      </c>
    </row>
    <row r="893" spans="13:15" ht="15.75" hidden="1" customHeight="1">
      <c r="M893" s="5" t="s">
        <v>24</v>
      </c>
      <c r="N893" s="5" t="s">
        <v>28</v>
      </c>
      <c r="O893" t="s">
        <v>26</v>
      </c>
    </row>
    <row r="894" spans="13:15" ht="15.75" hidden="1" customHeight="1">
      <c r="M894" s="5" t="s">
        <v>24</v>
      </c>
      <c r="N894" s="5" t="s">
        <v>28</v>
      </c>
      <c r="O894" t="s">
        <v>26</v>
      </c>
    </row>
    <row r="895" spans="13:15" ht="15.75" hidden="1" customHeight="1">
      <c r="M895" s="5" t="s">
        <v>24</v>
      </c>
      <c r="N895" s="5" t="s">
        <v>28</v>
      </c>
      <c r="O895" t="s">
        <v>26</v>
      </c>
    </row>
    <row r="896" spans="13:15" ht="15.75" hidden="1" customHeight="1">
      <c r="M896" s="5" t="s">
        <v>24</v>
      </c>
      <c r="N896" s="5" t="s">
        <v>28</v>
      </c>
      <c r="O896" t="s">
        <v>26</v>
      </c>
    </row>
    <row r="897" spans="13:15" ht="15.75" hidden="1" customHeight="1">
      <c r="M897" s="5" t="s">
        <v>24</v>
      </c>
      <c r="N897" s="5" t="s">
        <v>28</v>
      </c>
      <c r="O897" t="s">
        <v>26</v>
      </c>
    </row>
    <row r="898" spans="13:15" ht="15.75" hidden="1" customHeight="1">
      <c r="M898" s="5" t="s">
        <v>24</v>
      </c>
      <c r="N898" s="5" t="s">
        <v>28</v>
      </c>
      <c r="O898" t="s">
        <v>26</v>
      </c>
    </row>
    <row r="899" spans="13:15" ht="15.75" hidden="1" customHeight="1">
      <c r="M899" s="5" t="s">
        <v>24</v>
      </c>
      <c r="N899" s="5" t="s">
        <v>28</v>
      </c>
      <c r="O899" t="s">
        <v>26</v>
      </c>
    </row>
    <row r="900" spans="13:15" ht="15.75" hidden="1" customHeight="1">
      <c r="M900" s="5" t="s">
        <v>24</v>
      </c>
      <c r="N900" s="5" t="s">
        <v>28</v>
      </c>
      <c r="O900" t="s">
        <v>26</v>
      </c>
    </row>
    <row r="901" spans="13:15" ht="15.75" hidden="1" customHeight="1">
      <c r="M901" s="5" t="s">
        <v>24</v>
      </c>
      <c r="N901" s="5" t="s">
        <v>28</v>
      </c>
      <c r="O901" t="s">
        <v>26</v>
      </c>
    </row>
    <row r="902" spans="13:15" ht="15.75" hidden="1" customHeight="1">
      <c r="M902" s="5" t="s">
        <v>24</v>
      </c>
      <c r="N902" s="5" t="s">
        <v>28</v>
      </c>
      <c r="O902" t="s">
        <v>26</v>
      </c>
    </row>
    <row r="903" spans="13:15" ht="15.75" hidden="1" customHeight="1">
      <c r="M903" s="5" t="s">
        <v>24</v>
      </c>
      <c r="N903" s="5" t="s">
        <v>28</v>
      </c>
      <c r="O903" t="s">
        <v>26</v>
      </c>
    </row>
    <row r="904" spans="13:15" ht="15.75" hidden="1" customHeight="1">
      <c r="M904" s="5" t="s">
        <v>24</v>
      </c>
      <c r="N904" s="5" t="s">
        <v>28</v>
      </c>
      <c r="O904" t="s">
        <v>26</v>
      </c>
    </row>
    <row r="905" spans="13:15" ht="15.75" hidden="1" customHeight="1">
      <c r="M905" s="5" t="s">
        <v>24</v>
      </c>
      <c r="N905" s="5" t="s">
        <v>28</v>
      </c>
      <c r="O905" t="s">
        <v>26</v>
      </c>
    </row>
    <row r="906" spans="13:15" ht="15.75" hidden="1" customHeight="1">
      <c r="M906" s="5" t="s">
        <v>24</v>
      </c>
      <c r="N906" s="5" t="s">
        <v>28</v>
      </c>
      <c r="O906" t="s">
        <v>26</v>
      </c>
    </row>
    <row r="907" spans="13:15" ht="15.75" hidden="1" customHeight="1">
      <c r="M907" s="5" t="s">
        <v>24</v>
      </c>
      <c r="N907" s="5" t="s">
        <v>28</v>
      </c>
      <c r="O907" t="s">
        <v>26</v>
      </c>
    </row>
    <row r="908" spans="13:15" ht="15.75" hidden="1" customHeight="1">
      <c r="M908" s="5" t="s">
        <v>24</v>
      </c>
      <c r="N908" s="5" t="s">
        <v>28</v>
      </c>
      <c r="O908" t="s">
        <v>26</v>
      </c>
    </row>
    <row r="909" spans="13:15" ht="15.75" hidden="1" customHeight="1">
      <c r="M909" s="5" t="s">
        <v>24</v>
      </c>
      <c r="N909" s="5" t="s">
        <v>28</v>
      </c>
      <c r="O909" t="s">
        <v>26</v>
      </c>
    </row>
    <row r="910" spans="13:15" ht="15.75" hidden="1" customHeight="1">
      <c r="M910" s="5" t="s">
        <v>24</v>
      </c>
      <c r="N910" s="5" t="s">
        <v>28</v>
      </c>
      <c r="O910" t="s">
        <v>26</v>
      </c>
    </row>
    <row r="911" spans="13:15" ht="15.75" hidden="1" customHeight="1">
      <c r="M911" s="5" t="s">
        <v>24</v>
      </c>
      <c r="N911" s="5" t="s">
        <v>28</v>
      </c>
      <c r="O911" t="s">
        <v>26</v>
      </c>
    </row>
    <row r="912" spans="13:15" ht="15.75" hidden="1" customHeight="1">
      <c r="M912" s="5" t="s">
        <v>24</v>
      </c>
      <c r="N912" s="5" t="s">
        <v>28</v>
      </c>
      <c r="O912" t="s">
        <v>26</v>
      </c>
    </row>
    <row r="913" spans="13:15" ht="15.75" hidden="1" customHeight="1">
      <c r="M913" s="5" t="s">
        <v>24</v>
      </c>
      <c r="N913" s="5" t="s">
        <v>28</v>
      </c>
      <c r="O913" t="s">
        <v>26</v>
      </c>
    </row>
    <row r="914" spans="13:15" ht="15.75" hidden="1" customHeight="1">
      <c r="M914" s="5" t="s">
        <v>24</v>
      </c>
      <c r="N914" s="5" t="s">
        <v>28</v>
      </c>
      <c r="O914" t="s">
        <v>26</v>
      </c>
    </row>
    <row r="915" spans="13:15" ht="15.75" hidden="1" customHeight="1">
      <c r="M915" s="5" t="s">
        <v>24</v>
      </c>
      <c r="N915" s="5" t="s">
        <v>28</v>
      </c>
      <c r="O915" t="s">
        <v>26</v>
      </c>
    </row>
    <row r="916" spans="13:15" ht="15.75" hidden="1" customHeight="1">
      <c r="M916" s="5" t="s">
        <v>24</v>
      </c>
      <c r="N916" s="5" t="s">
        <v>28</v>
      </c>
      <c r="O916" t="s">
        <v>26</v>
      </c>
    </row>
    <row r="917" spans="13:15" ht="15.75" hidden="1" customHeight="1">
      <c r="M917" s="5" t="s">
        <v>24</v>
      </c>
      <c r="N917" s="5" t="s">
        <v>28</v>
      </c>
      <c r="O917" t="s">
        <v>26</v>
      </c>
    </row>
    <row r="918" spans="13:15" ht="15.75" hidden="1" customHeight="1">
      <c r="M918" s="5" t="s">
        <v>24</v>
      </c>
      <c r="N918" s="5" t="s">
        <v>28</v>
      </c>
      <c r="O918" t="s">
        <v>26</v>
      </c>
    </row>
    <row r="919" spans="13:15" ht="15.75" hidden="1" customHeight="1">
      <c r="M919" s="5" t="s">
        <v>24</v>
      </c>
      <c r="N919" s="5" t="s">
        <v>28</v>
      </c>
      <c r="O919" t="s">
        <v>26</v>
      </c>
    </row>
    <row r="920" spans="13:15" ht="15.75" hidden="1" customHeight="1">
      <c r="M920" s="5" t="s">
        <v>24</v>
      </c>
      <c r="N920" s="5" t="s">
        <v>28</v>
      </c>
      <c r="O920" t="s">
        <v>26</v>
      </c>
    </row>
    <row r="921" spans="13:15" ht="15.75" hidden="1" customHeight="1">
      <c r="M921" s="5" t="s">
        <v>24</v>
      </c>
      <c r="N921" s="5" t="s">
        <v>28</v>
      </c>
      <c r="O921" t="s">
        <v>26</v>
      </c>
    </row>
    <row r="922" spans="13:15" ht="15.75" hidden="1" customHeight="1">
      <c r="M922" s="5" t="s">
        <v>24</v>
      </c>
      <c r="N922" s="5" t="s">
        <v>28</v>
      </c>
      <c r="O922" t="s">
        <v>26</v>
      </c>
    </row>
    <row r="923" spans="13:15" ht="15.75" hidden="1" customHeight="1">
      <c r="M923" s="5" t="s">
        <v>24</v>
      </c>
      <c r="N923" s="5" t="s">
        <v>28</v>
      </c>
      <c r="O923" t="s">
        <v>26</v>
      </c>
    </row>
    <row r="924" spans="13:15" ht="15.75" hidden="1" customHeight="1">
      <c r="M924" s="5" t="s">
        <v>24</v>
      </c>
      <c r="N924" s="5" t="s">
        <v>28</v>
      </c>
      <c r="O924" t="s">
        <v>26</v>
      </c>
    </row>
    <row r="925" spans="13:15" ht="15.75" hidden="1" customHeight="1">
      <c r="M925" s="5" t="s">
        <v>24</v>
      </c>
      <c r="N925" s="5" t="s">
        <v>28</v>
      </c>
      <c r="O925" t="s">
        <v>26</v>
      </c>
    </row>
    <row r="926" spans="13:15" ht="15.75" hidden="1" customHeight="1">
      <c r="M926" s="5" t="s">
        <v>24</v>
      </c>
      <c r="N926" s="5" t="s">
        <v>28</v>
      </c>
      <c r="O926" t="s">
        <v>26</v>
      </c>
    </row>
    <row r="927" spans="13:15" ht="15.75" hidden="1" customHeight="1">
      <c r="M927" s="5" t="s">
        <v>24</v>
      </c>
      <c r="N927" s="5" t="s">
        <v>28</v>
      </c>
      <c r="O927" t="s">
        <v>26</v>
      </c>
    </row>
    <row r="928" spans="13:15" ht="15.75" hidden="1" customHeight="1">
      <c r="M928" s="5" t="s">
        <v>24</v>
      </c>
      <c r="N928" s="5" t="s">
        <v>28</v>
      </c>
      <c r="O928" t="s">
        <v>26</v>
      </c>
    </row>
    <row r="929" spans="13:15" ht="15.75" hidden="1" customHeight="1">
      <c r="M929" s="5" t="s">
        <v>24</v>
      </c>
      <c r="N929" s="5" t="s">
        <v>28</v>
      </c>
      <c r="O929" t="s">
        <v>26</v>
      </c>
    </row>
    <row r="930" spans="13:15" ht="15.75" hidden="1" customHeight="1">
      <c r="M930" s="5" t="s">
        <v>24</v>
      </c>
      <c r="N930" s="5" t="s">
        <v>28</v>
      </c>
      <c r="O930" t="s">
        <v>26</v>
      </c>
    </row>
    <row r="931" spans="13:15" ht="15.75" hidden="1" customHeight="1">
      <c r="M931" s="5" t="s">
        <v>24</v>
      </c>
      <c r="N931" s="5" t="s">
        <v>28</v>
      </c>
      <c r="O931" t="s">
        <v>26</v>
      </c>
    </row>
    <row r="932" spans="13:15" ht="15.75" hidden="1" customHeight="1">
      <c r="M932" s="5" t="s">
        <v>24</v>
      </c>
      <c r="N932" s="5" t="s">
        <v>28</v>
      </c>
      <c r="O932" t="s">
        <v>26</v>
      </c>
    </row>
    <row r="933" spans="13:15" ht="15.75" hidden="1" customHeight="1">
      <c r="M933" s="5" t="s">
        <v>24</v>
      </c>
      <c r="N933" s="5" t="s">
        <v>28</v>
      </c>
      <c r="O933" t="s">
        <v>26</v>
      </c>
    </row>
    <row r="934" spans="13:15" ht="15.75" hidden="1" customHeight="1">
      <c r="M934" s="5" t="s">
        <v>24</v>
      </c>
      <c r="N934" s="5" t="s">
        <v>28</v>
      </c>
      <c r="O934" t="s">
        <v>26</v>
      </c>
    </row>
    <row r="935" spans="13:15" ht="15.75" hidden="1" customHeight="1">
      <c r="M935" s="5" t="s">
        <v>24</v>
      </c>
      <c r="N935" s="5" t="s">
        <v>28</v>
      </c>
      <c r="O935" t="s">
        <v>26</v>
      </c>
    </row>
    <row r="936" spans="13:15" ht="15.75" hidden="1" customHeight="1">
      <c r="M936" s="5" t="s">
        <v>24</v>
      </c>
      <c r="N936" s="5" t="s">
        <v>28</v>
      </c>
      <c r="O936" t="s">
        <v>26</v>
      </c>
    </row>
    <row r="937" spans="13:15" ht="15.75" hidden="1" customHeight="1">
      <c r="M937" s="5" t="s">
        <v>24</v>
      </c>
      <c r="N937" s="5" t="s">
        <v>28</v>
      </c>
      <c r="O937" t="s">
        <v>26</v>
      </c>
    </row>
    <row r="938" spans="13:15" ht="15.75" hidden="1" customHeight="1">
      <c r="M938" s="5" t="s">
        <v>24</v>
      </c>
      <c r="N938" s="5" t="s">
        <v>28</v>
      </c>
      <c r="O938" t="s">
        <v>26</v>
      </c>
    </row>
    <row r="939" spans="13:15" ht="15.75" hidden="1" customHeight="1">
      <c r="M939" s="5" t="s">
        <v>24</v>
      </c>
      <c r="N939" s="5" t="s">
        <v>28</v>
      </c>
      <c r="O939" t="s">
        <v>26</v>
      </c>
    </row>
    <row r="940" spans="13:15" ht="15.75" hidden="1" customHeight="1">
      <c r="M940" s="5" t="s">
        <v>24</v>
      </c>
      <c r="N940" s="5" t="s">
        <v>28</v>
      </c>
      <c r="O940" t="s">
        <v>26</v>
      </c>
    </row>
    <row r="941" spans="13:15" ht="15.75" hidden="1" customHeight="1">
      <c r="M941" s="5" t="s">
        <v>24</v>
      </c>
      <c r="N941" s="5" t="s">
        <v>28</v>
      </c>
      <c r="O941" t="s">
        <v>26</v>
      </c>
    </row>
    <row r="942" spans="13:15" ht="15.75" hidden="1" customHeight="1">
      <c r="M942" s="5" t="s">
        <v>24</v>
      </c>
      <c r="N942" s="5" t="s">
        <v>28</v>
      </c>
      <c r="O942" t="s">
        <v>26</v>
      </c>
    </row>
    <row r="943" spans="13:15" ht="15.75" hidden="1" customHeight="1">
      <c r="M943" s="5" t="s">
        <v>24</v>
      </c>
      <c r="N943" s="5" t="s">
        <v>28</v>
      </c>
      <c r="O943" t="s">
        <v>26</v>
      </c>
    </row>
    <row r="944" spans="13:15" ht="15.75" hidden="1" customHeight="1">
      <c r="M944" s="5" t="s">
        <v>24</v>
      </c>
      <c r="N944" s="5" t="s">
        <v>28</v>
      </c>
      <c r="O944" t="s">
        <v>26</v>
      </c>
    </row>
    <row r="945" spans="13:15" ht="15.75" hidden="1" customHeight="1">
      <c r="M945" s="5" t="s">
        <v>24</v>
      </c>
      <c r="N945" s="5" t="s">
        <v>28</v>
      </c>
      <c r="O945" t="s">
        <v>26</v>
      </c>
    </row>
    <row r="946" spans="13:15" ht="15.75" hidden="1" customHeight="1">
      <c r="M946" s="5" t="s">
        <v>24</v>
      </c>
      <c r="N946" s="5" t="s">
        <v>28</v>
      </c>
      <c r="O946" t="s">
        <v>26</v>
      </c>
    </row>
    <row r="947" spans="13:15" ht="15.75" hidden="1" customHeight="1">
      <c r="M947" s="5" t="s">
        <v>24</v>
      </c>
      <c r="N947" s="5" t="s">
        <v>28</v>
      </c>
      <c r="O947" t="s">
        <v>26</v>
      </c>
    </row>
    <row r="948" spans="13:15" ht="15.75" hidden="1" customHeight="1">
      <c r="M948" s="5" t="s">
        <v>24</v>
      </c>
      <c r="N948" s="5" t="s">
        <v>28</v>
      </c>
      <c r="O948" t="s">
        <v>26</v>
      </c>
    </row>
    <row r="949" spans="13:15" ht="15.75" hidden="1" customHeight="1">
      <c r="M949" s="5" t="s">
        <v>24</v>
      </c>
      <c r="N949" s="5" t="s">
        <v>28</v>
      </c>
      <c r="O949" t="s">
        <v>26</v>
      </c>
    </row>
    <row r="950" spans="13:15" ht="15.75" hidden="1" customHeight="1">
      <c r="M950" s="5" t="s">
        <v>24</v>
      </c>
      <c r="N950" s="5" t="s">
        <v>28</v>
      </c>
      <c r="O950" t="s">
        <v>26</v>
      </c>
    </row>
    <row r="951" spans="13:15" ht="15.75" hidden="1" customHeight="1">
      <c r="M951" s="5" t="s">
        <v>24</v>
      </c>
      <c r="N951" s="5" t="s">
        <v>28</v>
      </c>
      <c r="O951" t="s">
        <v>26</v>
      </c>
    </row>
    <row r="952" spans="13:15" ht="15.75" hidden="1" customHeight="1">
      <c r="M952" s="5" t="s">
        <v>24</v>
      </c>
      <c r="N952" s="5" t="s">
        <v>28</v>
      </c>
      <c r="O952" t="s">
        <v>26</v>
      </c>
    </row>
    <row r="953" spans="13:15" ht="15.75" hidden="1" customHeight="1">
      <c r="M953" s="5" t="s">
        <v>24</v>
      </c>
      <c r="N953" s="5" t="s">
        <v>28</v>
      </c>
      <c r="O953" t="s">
        <v>26</v>
      </c>
    </row>
    <row r="954" spans="13:15" ht="15.75" hidden="1" customHeight="1">
      <c r="M954" s="5" t="s">
        <v>24</v>
      </c>
      <c r="N954" s="5" t="s">
        <v>28</v>
      </c>
      <c r="O954" t="s">
        <v>26</v>
      </c>
    </row>
    <row r="955" spans="13:15" ht="15.75" hidden="1" customHeight="1">
      <c r="M955" s="5" t="s">
        <v>24</v>
      </c>
      <c r="N955" s="5" t="s">
        <v>28</v>
      </c>
      <c r="O955" t="s">
        <v>26</v>
      </c>
    </row>
    <row r="956" spans="13:15" ht="15.75" hidden="1" customHeight="1">
      <c r="M956" s="5" t="s">
        <v>24</v>
      </c>
      <c r="N956" s="5" t="s">
        <v>28</v>
      </c>
      <c r="O956" t="s">
        <v>26</v>
      </c>
    </row>
    <row r="957" spans="13:15" ht="15.75" hidden="1" customHeight="1">
      <c r="M957" s="5" t="s">
        <v>24</v>
      </c>
      <c r="N957" s="5" t="s">
        <v>28</v>
      </c>
      <c r="O957" t="s">
        <v>26</v>
      </c>
    </row>
    <row r="958" spans="13:15" ht="15.75" hidden="1" customHeight="1">
      <c r="M958" s="5" t="s">
        <v>24</v>
      </c>
      <c r="N958" s="5" t="s">
        <v>28</v>
      </c>
      <c r="O958" t="s">
        <v>26</v>
      </c>
    </row>
    <row r="959" spans="13:15" ht="15.75" hidden="1" customHeight="1">
      <c r="M959" s="5" t="s">
        <v>24</v>
      </c>
      <c r="N959" s="5" t="s">
        <v>28</v>
      </c>
      <c r="O959" t="s">
        <v>26</v>
      </c>
    </row>
    <row r="960" spans="13:15" ht="15.75" hidden="1" customHeight="1">
      <c r="M960" s="5" t="s">
        <v>24</v>
      </c>
      <c r="N960" s="5" t="s">
        <v>28</v>
      </c>
      <c r="O960" t="s">
        <v>26</v>
      </c>
    </row>
    <row r="961" spans="13:15" ht="15.75" hidden="1" customHeight="1">
      <c r="M961" s="5" t="s">
        <v>24</v>
      </c>
      <c r="N961" s="5" t="s">
        <v>28</v>
      </c>
      <c r="O961" t="s">
        <v>26</v>
      </c>
    </row>
    <row r="962" spans="13:15" ht="15.75" hidden="1" customHeight="1">
      <c r="M962" s="5" t="s">
        <v>24</v>
      </c>
      <c r="N962" s="5" t="s">
        <v>28</v>
      </c>
      <c r="O962" t="s">
        <v>26</v>
      </c>
    </row>
    <row r="963" spans="13:15" ht="15.75" hidden="1" customHeight="1">
      <c r="M963" s="5" t="s">
        <v>24</v>
      </c>
      <c r="N963" s="5" t="s">
        <v>28</v>
      </c>
      <c r="O963" t="s">
        <v>26</v>
      </c>
    </row>
    <row r="964" spans="13:15" ht="15.75" hidden="1" customHeight="1">
      <c r="M964" s="5" t="s">
        <v>24</v>
      </c>
      <c r="N964" s="5" t="s">
        <v>28</v>
      </c>
      <c r="O964" t="s">
        <v>26</v>
      </c>
    </row>
    <row r="965" spans="13:15" ht="15.75" hidden="1" customHeight="1">
      <c r="M965" s="5" t="s">
        <v>24</v>
      </c>
      <c r="N965" s="5" t="s">
        <v>28</v>
      </c>
      <c r="O965" t="s">
        <v>26</v>
      </c>
    </row>
    <row r="966" spans="13:15" ht="15.75" hidden="1" customHeight="1">
      <c r="M966" s="5" t="s">
        <v>24</v>
      </c>
      <c r="N966" s="5" t="s">
        <v>28</v>
      </c>
      <c r="O966" t="s">
        <v>26</v>
      </c>
    </row>
    <row r="967" spans="13:15" ht="15.75" hidden="1" customHeight="1">
      <c r="M967" s="5" t="s">
        <v>24</v>
      </c>
      <c r="N967" s="5" t="s">
        <v>28</v>
      </c>
      <c r="O967" t="s">
        <v>26</v>
      </c>
    </row>
    <row r="968" spans="13:15" ht="15.75" hidden="1" customHeight="1">
      <c r="M968" s="5" t="s">
        <v>24</v>
      </c>
      <c r="N968" s="5" t="s">
        <v>28</v>
      </c>
      <c r="O968" t="s">
        <v>26</v>
      </c>
    </row>
    <row r="969" spans="13:15" ht="15.75" hidden="1" customHeight="1">
      <c r="M969" s="5" t="s">
        <v>24</v>
      </c>
      <c r="N969" s="5" t="s">
        <v>28</v>
      </c>
      <c r="O969" t="s">
        <v>26</v>
      </c>
    </row>
    <row r="970" spans="13:15" ht="15.75" hidden="1" customHeight="1">
      <c r="M970" s="5" t="s">
        <v>24</v>
      </c>
      <c r="N970" s="5" t="s">
        <v>28</v>
      </c>
      <c r="O970" t="s">
        <v>26</v>
      </c>
    </row>
    <row r="971" spans="13:15" ht="15.75" hidden="1" customHeight="1">
      <c r="M971" s="5" t="s">
        <v>24</v>
      </c>
      <c r="N971" s="5" t="s">
        <v>28</v>
      </c>
      <c r="O971" t="s">
        <v>26</v>
      </c>
    </row>
    <row r="972" spans="13:15" ht="15.75" hidden="1" customHeight="1">
      <c r="M972" s="5" t="s">
        <v>24</v>
      </c>
      <c r="N972" s="5" t="s">
        <v>28</v>
      </c>
      <c r="O972" t="s">
        <v>26</v>
      </c>
    </row>
    <row r="973" spans="13:15" ht="15.75" hidden="1" customHeight="1">
      <c r="M973" s="5" t="s">
        <v>24</v>
      </c>
      <c r="N973" s="5" t="s">
        <v>28</v>
      </c>
      <c r="O973" t="s">
        <v>26</v>
      </c>
    </row>
    <row r="974" spans="13:15" ht="15.75" hidden="1" customHeight="1">
      <c r="M974" s="5" t="s">
        <v>24</v>
      </c>
      <c r="N974" s="5" t="s">
        <v>28</v>
      </c>
      <c r="O974" t="s">
        <v>26</v>
      </c>
    </row>
    <row r="975" spans="13:15" ht="15.75" hidden="1" customHeight="1">
      <c r="M975" s="5" t="s">
        <v>24</v>
      </c>
      <c r="N975" s="5" t="s">
        <v>28</v>
      </c>
      <c r="O975" t="s">
        <v>26</v>
      </c>
    </row>
    <row r="976" spans="13:15" ht="15.75" hidden="1" customHeight="1">
      <c r="M976" s="5" t="s">
        <v>24</v>
      </c>
      <c r="N976" s="5" t="s">
        <v>28</v>
      </c>
      <c r="O976" t="s">
        <v>26</v>
      </c>
    </row>
    <row r="977" spans="13:15" ht="15.75" hidden="1" customHeight="1">
      <c r="M977" s="5" t="s">
        <v>24</v>
      </c>
      <c r="N977" s="5" t="s">
        <v>28</v>
      </c>
      <c r="O977" t="s">
        <v>26</v>
      </c>
    </row>
    <row r="978" spans="13:15" ht="15.75" hidden="1" customHeight="1">
      <c r="M978" s="5" t="s">
        <v>24</v>
      </c>
      <c r="N978" s="5" t="s">
        <v>28</v>
      </c>
      <c r="O978" t="s">
        <v>26</v>
      </c>
    </row>
    <row r="979" spans="13:15" ht="15.75" hidden="1" customHeight="1">
      <c r="M979" s="5" t="s">
        <v>24</v>
      </c>
      <c r="N979" s="5" t="s">
        <v>28</v>
      </c>
      <c r="O979" t="s">
        <v>26</v>
      </c>
    </row>
    <row r="980" spans="13:15" ht="15.75" hidden="1" customHeight="1">
      <c r="M980" s="5" t="s">
        <v>24</v>
      </c>
      <c r="N980" s="5" t="s">
        <v>28</v>
      </c>
      <c r="O980" t="s">
        <v>26</v>
      </c>
    </row>
    <row r="981" spans="13:15" ht="15.75" hidden="1" customHeight="1">
      <c r="M981" s="5" t="s">
        <v>24</v>
      </c>
      <c r="N981" s="5" t="s">
        <v>28</v>
      </c>
      <c r="O981" t="s">
        <v>26</v>
      </c>
    </row>
    <row r="982" spans="13:15" ht="15.75" hidden="1" customHeight="1">
      <c r="M982" s="5" t="s">
        <v>24</v>
      </c>
      <c r="N982" s="5" t="s">
        <v>28</v>
      </c>
      <c r="O982" t="s">
        <v>26</v>
      </c>
    </row>
    <row r="983" spans="13:15" ht="15.75" hidden="1" customHeight="1">
      <c r="M983" s="5" t="s">
        <v>24</v>
      </c>
      <c r="N983" s="5" t="s">
        <v>28</v>
      </c>
      <c r="O983" t="s">
        <v>26</v>
      </c>
    </row>
    <row r="984" spans="13:15" ht="15.75" hidden="1" customHeight="1">
      <c r="M984" s="5" t="s">
        <v>24</v>
      </c>
      <c r="N984" s="5" t="s">
        <v>28</v>
      </c>
      <c r="O984" t="s">
        <v>26</v>
      </c>
    </row>
    <row r="985" spans="13:15" ht="15.75" hidden="1" customHeight="1">
      <c r="M985" s="5" t="s">
        <v>24</v>
      </c>
      <c r="N985" s="5" t="s">
        <v>28</v>
      </c>
      <c r="O985" t="s">
        <v>26</v>
      </c>
    </row>
    <row r="986" spans="13:15" ht="15.75" hidden="1" customHeight="1">
      <c r="M986" s="5" t="s">
        <v>24</v>
      </c>
      <c r="N986" s="5" t="s">
        <v>28</v>
      </c>
      <c r="O986" t="s">
        <v>26</v>
      </c>
    </row>
    <row r="987" spans="13:15" ht="15.75" hidden="1" customHeight="1">
      <c r="M987" s="5" t="s">
        <v>24</v>
      </c>
      <c r="N987" s="5" t="s">
        <v>28</v>
      </c>
      <c r="O987" t="s">
        <v>26</v>
      </c>
    </row>
    <row r="988" spans="13:15" ht="15.75" hidden="1" customHeight="1">
      <c r="M988" s="5" t="s">
        <v>24</v>
      </c>
      <c r="N988" s="5" t="s">
        <v>28</v>
      </c>
      <c r="O988" t="s">
        <v>26</v>
      </c>
    </row>
    <row r="989" spans="13:15" ht="15.75" hidden="1" customHeight="1">
      <c r="M989" s="5" t="s">
        <v>24</v>
      </c>
      <c r="N989" s="5" t="s">
        <v>28</v>
      </c>
      <c r="O989" t="s">
        <v>26</v>
      </c>
    </row>
    <row r="990" spans="13:15" ht="15.75" hidden="1" customHeight="1">
      <c r="M990" s="5" t="s">
        <v>24</v>
      </c>
      <c r="N990" s="5" t="s">
        <v>28</v>
      </c>
      <c r="O990" t="s">
        <v>26</v>
      </c>
    </row>
    <row r="991" spans="13:15" ht="15.75" hidden="1" customHeight="1">
      <c r="M991" s="5" t="s">
        <v>24</v>
      </c>
      <c r="N991" s="5" t="s">
        <v>28</v>
      </c>
      <c r="O991" t="s">
        <v>26</v>
      </c>
    </row>
    <row r="992" spans="13:15" ht="15.75" hidden="1" customHeight="1">
      <c r="M992" s="5" t="s">
        <v>24</v>
      </c>
      <c r="N992" s="5" t="s">
        <v>28</v>
      </c>
      <c r="O992" t="s">
        <v>26</v>
      </c>
    </row>
    <row r="993" spans="13:15" ht="15.75" hidden="1" customHeight="1">
      <c r="M993" s="5" t="s">
        <v>24</v>
      </c>
      <c r="N993" s="5" t="s">
        <v>28</v>
      </c>
      <c r="O993" t="s">
        <v>26</v>
      </c>
    </row>
    <row r="994" spans="13:15" ht="15.75" hidden="1" customHeight="1">
      <c r="M994" s="5" t="s">
        <v>24</v>
      </c>
      <c r="N994" s="5" t="s">
        <v>28</v>
      </c>
      <c r="O994" t="s">
        <v>26</v>
      </c>
    </row>
    <row r="995" spans="13:15" ht="15.75" hidden="1" customHeight="1">
      <c r="M995" s="5" t="s">
        <v>24</v>
      </c>
      <c r="N995" s="5" t="s">
        <v>28</v>
      </c>
      <c r="O995" t="s">
        <v>26</v>
      </c>
    </row>
    <row r="996" spans="13:15" ht="15.75" hidden="1" customHeight="1">
      <c r="M996" s="5" t="s">
        <v>24</v>
      </c>
      <c r="N996" s="5" t="s">
        <v>28</v>
      </c>
      <c r="O996" t="s">
        <v>26</v>
      </c>
    </row>
    <row r="997" spans="13:15" ht="15.75" hidden="1" customHeight="1">
      <c r="M997" s="5" t="s">
        <v>24</v>
      </c>
      <c r="N997" s="5" t="s">
        <v>28</v>
      </c>
      <c r="O997" t="s">
        <v>26</v>
      </c>
    </row>
    <row r="998" spans="13:15" ht="15.75" hidden="1" customHeight="1">
      <c r="M998" s="5" t="s">
        <v>24</v>
      </c>
      <c r="N998" s="5" t="s">
        <v>28</v>
      </c>
      <c r="O998" t="s">
        <v>26</v>
      </c>
    </row>
    <row r="999" spans="13:15" ht="15.75" hidden="1" customHeight="1">
      <c r="M999" s="5" t="s">
        <v>24</v>
      </c>
      <c r="N999" s="5" t="s">
        <v>28</v>
      </c>
      <c r="O999" t="s">
        <v>26</v>
      </c>
    </row>
    <row r="1000" spans="13:15" ht="15.75" hidden="1" customHeight="1">
      <c r="M1000" s="5" t="s">
        <v>24</v>
      </c>
      <c r="N1000" s="5" t="s">
        <v>28</v>
      </c>
      <c r="O100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Input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Porcellato</cp:lastModifiedBy>
  <dcterms:created xsi:type="dcterms:W3CDTF">2025-12-31T13:03:50Z</dcterms:created>
  <dcterms:modified xsi:type="dcterms:W3CDTF">2025-12-31T13:06:03Z</dcterms:modified>
</cp:coreProperties>
</file>